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08 Інструкція" sheetId="1" state="visible" r:id="rId1"/>
    <sheet xmlns:r="http://schemas.openxmlformats.org/officeDocument/2006/relationships" name="В08 Картка" sheetId="2" state="visible" r:id="rId2"/>
    <sheet xmlns:r="http://schemas.openxmlformats.org/officeDocument/2006/relationships" name="В08 Каталог" sheetId="3" state="visible" r:id="rId3"/>
    <sheet xmlns:r="http://schemas.openxmlformats.org/officeDocument/2006/relationships" name="В08 Чернетка колеги" sheetId="4" state="visible" r:id="rId4"/>
    <sheet xmlns:r="http://schemas.openxmlformats.org/officeDocument/2006/relationships" name="В08 Загрози і заходи" sheetId="5" state="visible" r:id="rId5"/>
    <sheet xmlns:r="http://schemas.openxmlformats.org/officeDocument/2006/relationships" name="В08 Підсумок" sheetId="6" state="visible" r:id="rId6"/>
    <sheet xmlns:r="http://schemas.openxmlformats.org/officeDocument/2006/relationships" name="В08 Обґрунтуванн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2"/>
    </font>
    <font>
      <name val="Calibri"/>
      <i val="1"/>
      <sz val="10"/>
    </font>
    <font>
      <name val="Calibri"/>
      <b val="1"/>
      <color rgb="00FFFFFF"/>
      <sz val="11"/>
    </font>
    <font>
      <b val="1"/>
      <color rgb="001F3864"/>
      <sz val="15"/>
    </font>
    <font>
      <i val="1"/>
      <color rgb="00595959"/>
      <sz val="1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 wrapText="1"/>
      <protection locked="0" hidden="0"/>
    </xf>
    <xf numFmtId="0" fontId="4" fillId="3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D7B"/>
    <outlinePr summaryBelow="1" summaryRight="1"/>
    <pageSetUpPr/>
  </sheetPr>
  <dimension ref="A1:B15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08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D7B"/>
    <outlinePr summaryBelow="1" summaryRight="1"/>
    <pageSetUpPr/>
  </sheetPr>
  <dimension ref="A1:C19"/>
  <sheetViews>
    <sheetView tabSelected="0"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08</t>
        </is>
      </c>
    </row>
    <row r="3">
      <c r="A3" s="10" t="inlineStr">
        <is>
          <t>Студент (прізвище)</t>
        </is>
      </c>
      <c r="B3" s="11" t="inlineStr">
        <is>
          <t>Кравченко</t>
        </is>
      </c>
    </row>
    <row r="4">
      <c r="A4" s="10" t="inlineStr">
        <is>
          <t>Точка прийому</t>
        </is>
      </c>
      <c r="B4" s="12" t="inlineStr">
        <is>
          <t>стаціонарний POS-термінал на касі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підрядник-інтегратор мережі й Wi-Fi: адміністрування Wi-Fi та комутаторів відділення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inlineStr">
        <is>
          <t>Клієнт і картка ↔ POS-термінал на касі (зчитувач картки, ПІН-клавіатура)</t>
        </is>
      </c>
      <c r="C13" s="15">
        <f>A13&amp;". "&amp;B13</f>
        <v/>
      </c>
    </row>
    <row r="14">
      <c r="A14" s="15" t="inlineStr">
        <is>
          <t>M2</t>
        </is>
      </c>
      <c r="B14" s="11" t="inlineStr">
        <is>
          <t>POS-термінал ↔ Wi-Fi відділення (радіоефір доступний будь-кому поблизу)</t>
        </is>
      </c>
      <c r="C14" s="15">
        <f>A14&amp;". "&amp;B14</f>
        <v/>
      </c>
    </row>
    <row r="15">
      <c r="A15" s="15" t="inlineStr">
        <is>
          <t>M3</t>
        </is>
      </c>
      <c r="B15" s="11" t="inlineStr">
        <is>
          <t>Точки доступу Wi-Fi ↔ дротова мережа відділення (комутатори, каси, АБС)</t>
        </is>
      </c>
      <c r="C15" s="15">
        <f>A15&amp;". "&amp;B15</f>
        <v/>
      </c>
    </row>
    <row r="16">
      <c r="A16" s="15" t="inlineStr">
        <is>
          <t>M4</t>
        </is>
      </c>
      <c r="B16" s="11" t="inlineStr">
        <is>
          <t>Маршрутизатор відділення ↔ виділена лінія оператора до головного офісу</t>
        </is>
      </c>
      <c r="C16" s="15">
        <f>A16&amp;". "&amp;B16</f>
        <v/>
      </c>
    </row>
    <row r="17">
      <c r="A17" s="15" t="inlineStr">
        <is>
          <t>M5</t>
        </is>
      </c>
      <c r="B17" s="11" t="inlineStr">
        <is>
          <t>Головний офіс ↔ платіжний шлюз і АБС у центрі обробки</t>
        </is>
      </c>
      <c r="C17" s="15">
        <f>A17&amp;". "&amp;B17</f>
        <v/>
      </c>
    </row>
    <row r="18">
      <c r="A18" s="15" t="inlineStr">
        <is>
          <t>M6</t>
        </is>
      </c>
      <c r="B18" s="11" t="inlineStr">
        <is>
          <t>Підрядник-інтегратор ↔ інтерфейси керування Wi-Fi і комутаторів</t>
        </is>
      </c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7D7B"/>
    <outlinePr summaryBelow="1" summaryRight="1"/>
    <pageSetUpPr/>
  </sheetPr>
  <dimension ref="A1:E19"/>
  <sheetViews>
    <sheetView tabSelected="0"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7D7B"/>
    <outlinePr summaryBelow="1" summaryRight="1"/>
    <pageSetUpPr/>
  </sheetPr>
  <dimension ref="A1:G17"/>
  <sheetViews>
    <sheetView tabSelected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M4</t>
        </is>
      </c>
      <c r="C5" s="15" t="inlineStr">
        <is>
          <t>T — зміна даних</t>
        </is>
      </c>
      <c r="D5" s="15" t="inlineStr">
        <is>
          <t>Перехоплення платіжного трафіку в каналі: зловмисник читає передані дані</t>
        </is>
      </c>
      <c r="E5" s="15" t="inlineStr">
        <is>
          <t>мережева</t>
        </is>
      </c>
      <c r="F5" s="15" t="n">
        <v>3</v>
      </c>
      <c r="G5" s="15" t="inlineStr">
        <is>
          <t>ЛР7. IPsec VPN між відділенням і головним офісом</t>
        </is>
      </c>
    </row>
    <row r="6">
      <c r="A6" s="15" t="n">
        <v>2</v>
      </c>
      <c r="B6" s="15" t="inlineStr">
        <is>
          <t>M1</t>
        </is>
      </c>
      <c r="C6" s="15" t="inlineStr">
        <is>
          <t>T — зміна даних</t>
        </is>
      </c>
      <c r="D6" s="15" t="inlineStr">
        <is>
          <t>Скімер на POS-термінала на касі: копіює дані картки</t>
        </is>
      </c>
      <c r="E6" s="15" t="inlineStr">
        <is>
          <t>фізична</t>
        </is>
      </c>
      <c r="F6" s="15" t="n">
        <v>3</v>
      </c>
      <c r="G6" s="15" t="inlineStr">
        <is>
          <t>ЛР1. Сегментація VLAN і маршрутизація між ними</t>
        </is>
      </c>
    </row>
    <row r="7">
      <c r="A7" s="15" t="n">
        <v>3</v>
      </c>
      <c r="B7" s="15" t="inlineStr">
        <is>
          <t>M5</t>
        </is>
      </c>
      <c r="C7" s="15" t="inlineStr">
        <is>
          <t>R — відмова від дій</t>
        </is>
      </c>
      <c r="D7" s="15" t="inlineStr">
        <is>
          <t>Шлюз не зберігає журнал: після шахрайства неможливо відновити послідовність подій</t>
        </is>
      </c>
      <c r="E7" s="15" t="inlineStr">
        <is>
          <t>мережева</t>
        </is>
      </c>
      <c r="F7" s="15" t="n">
        <v>2</v>
      </c>
      <c r="G7" s="15" t="inlineStr">
        <is>
          <t>ЛР10. Syslog, NTP і моніторинг (лише виявляє)</t>
        </is>
      </c>
    </row>
    <row r="8">
      <c r="A8" s="15" t="n">
        <v>4</v>
      </c>
      <c r="B8" s="15" t="inlineStr">
        <is>
          <t>M1</t>
        </is>
      </c>
      <c r="C8" s="15" t="inlineStr">
        <is>
          <t>R — відмова від дій</t>
        </is>
      </c>
      <c r="D8" s="15" t="inlineStr">
        <is>
          <t>Клієнт заперечує операцію, а повного журналу з точним часом немає</t>
        </is>
      </c>
      <c r="E8" s="15" t="inlineStr">
        <is>
          <t>організаційна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M2</t>
        </is>
      </c>
      <c r="C9" s="15" t="inlineStr">
        <is>
          <t>S — підміна</t>
        </is>
      </c>
      <c r="D9" s="15" t="inlineStr">
        <is>
          <t>Чужий пристрій підключається до Wi-Fi відділення й видає себе за термінал</t>
        </is>
      </c>
      <c r="E9" s="15" t="inlineStr">
        <is>
          <t>мережева</t>
        </is>
      </c>
      <c r="F9" s="15" t="n">
        <v>3</v>
      </c>
      <c r="G9" s="15" t="inlineStr">
        <is>
          <t>ЛР8. Окремий VLAN для пристроїв і захищена Wi-Fi (WPA2)</t>
        </is>
      </c>
    </row>
    <row r="10">
      <c r="A10" s="15" t="n">
        <v>6</v>
      </c>
      <c r="B10" s="15" t="inlineStr">
        <is>
          <t>M3</t>
        </is>
      </c>
      <c r="C10" s="15" t="inlineStr">
        <is>
          <t>T — зміна даних</t>
        </is>
      </c>
      <c r="D10" s="15" t="inlineStr">
        <is>
          <t>Встановити IPsec VPN і міжмережевий екран між відділенням і шлюзом</t>
        </is>
      </c>
      <c r="E10" s="15" t="inlineStr">
        <is>
          <t>мережева</t>
        </is>
      </c>
      <c r="F10" s="15" t="n">
        <v>3</v>
      </c>
      <c r="G10" s="15" t="inlineStr">
        <is>
          <t>ЛР7. IPsec VPN між відділенням і головним офісом</t>
        </is>
      </c>
    </row>
    <row r="11">
      <c r="A11" s="15" t="n">
        <v>7</v>
      </c>
      <c r="B11" s="15" t="inlineStr">
        <is>
          <t>M5</t>
        </is>
      </c>
      <c r="C11" s="15" t="inlineStr">
        <is>
          <t>S — підміна</t>
        </is>
      </c>
      <c r="D11" s="15" t="inlineStr">
        <is>
          <t>Підроблений запит до АБС від зламаного шлюзу чи від ПК відділення</t>
        </is>
      </c>
      <c r="E11" s="15" t="inlineStr">
        <is>
          <t>мережева</t>
        </is>
      </c>
      <c r="F11" s="15" t="n">
        <v>3</v>
      </c>
      <c r="G11" s="15" t="inlineStr">
        <is>
          <t>ЛР5. Міжмережевий екран ASA: зони й NAT</t>
        </is>
      </c>
    </row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inlineStr">
        <is>
          <t>1</t>
        </is>
      </c>
      <c r="B15" s="11" t="inlineStr">
        <is>
          <t>Літера STRIDE не відповідає описові</t>
        </is>
      </c>
      <c r="C15" s="11" t="inlineStr">
        <is>
          <t>«Зловмисник читає передані дані» — це витік (I), а не зміна даних (T). Виправлено на I; захід IPsec VPN (L7) закриває I, тож він лишається.</t>
        </is>
      </c>
      <c r="D15" s="19" t="n"/>
      <c r="E15" s="19" t="n"/>
      <c r="F15" s="19" t="n"/>
      <c r="G15" s="20" t="n"/>
    </row>
    <row r="16">
      <c r="A16" s="11" t="inlineStr">
        <is>
          <t>2</t>
        </is>
      </c>
      <c r="B16" s="11" t="inlineStr">
        <is>
          <t>Мережевий захід для фізичної загрози</t>
        </is>
      </c>
      <c r="C16" s="11" t="inlineStr">
        <is>
          <t>Скімер на POS — фізична загроза, VLAN (L1) її не закриває. Правильно: «Поза курсом: антискімінгові накладки, пломби, огляд пристрою»; до того ж копіювання картки — це I, а не T.</t>
        </is>
      </c>
      <c r="D16" s="19" t="n"/>
      <c r="E16" s="19" t="n"/>
      <c r="F16" s="19" t="n"/>
      <c r="G16" s="20" t="n"/>
    </row>
    <row r="17">
      <c r="A17" s="11" t="inlineStr">
        <is>
          <t>6</t>
        </is>
      </c>
      <c r="B17" s="11" t="inlineStr">
        <is>
          <t>Загроза записана як захід</t>
        </is>
      </c>
      <c r="C17" s="11" t="inlineStr">
        <is>
          <t>«Встановити IPsec VPN і міжмережевий екран» — це захід, а не загроза. Треба: хто, що робить, що втрачаємо (напр., підміна запиту до шлюзу зламаним ПК).</t>
        </is>
      </c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7D7B"/>
    <outlinePr summaryBelow="1" summaryRight="1"/>
    <pageSetUpPr/>
  </sheetPr>
  <dimension ref="A1:O34"/>
  <sheetViews>
    <sheetView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inlineStr">
        <is>
          <t>M1. Клієнт і картка ↔ POS-термінал на касі (зчитувач картки, ПІН-клавіатура)</t>
        </is>
      </c>
      <c r="C5" s="11" t="inlineStr">
        <is>
          <t>дані картки й ПІН</t>
        </is>
      </c>
      <c r="D5" s="21" t="inlineStr">
        <is>
          <t>I — витік</t>
        </is>
      </c>
      <c r="E5" s="11" t="inlineStr">
        <is>
          <t>Шахрай ставить шимер/накладку на ПІН-клавіатуру POS на касі й копіює картки та ПІН — клієнти втрачають гроші</t>
        </is>
      </c>
      <c r="F5" s="21" t="inlineStr">
        <is>
          <t>фізична</t>
        </is>
      </c>
      <c r="G5" s="21" t="n">
        <v>3</v>
      </c>
      <c r="H5" s="11" t="inlineStr">
        <is>
          <t>Шахрайство з картками</t>
        </is>
      </c>
      <c r="I5" s="21" t="inlineStr">
        <is>
          <t>Так</t>
        </is>
      </c>
      <c r="J5" s="11" t="inlineStr">
        <is>
          <t>Поза курсом: антискімінгові накладки, пломби, замки, огляд пристрою</t>
        </is>
      </c>
      <c r="K5" s="11" t="inlineStr">
        <is>
          <t>POS на касі: пломби на корпусі, огляд касиром на початку зміни, термінал закріплений на стійці</t>
        </is>
      </c>
      <c r="L5" s="15">
        <f>IF(I5&lt;&gt;"Так","",IF(J5="","Оберіть захід",IF(K5="","Вкажіть, де в мережі",IF(D5="","Оберіть літеру STRIDE",IF(F5="","Вкажіть природу",IF(AND(INDEX('В08 Каталог'!$C$5:$C$19,MATCH(J5,'В08 Каталог'!$B$5:$B$19,0))="Лабораторна",F5="фізична",INDEX('В08 Каталог'!$A$5:$A$19,MATCH(J5,'В08 Каталог'!$B$5:$B$19,0))&lt;&gt;"L10"),"Мережевий захід не закриває фізичну загрозу",IF(AND(INDEX('В08 Каталог'!$C$5:$C$19,MATCH(J5,'В08 Каталог'!$B$5:$B$19,0))="Лабораторна",ISERROR(SEARCH(LEFT(D5,1),INDEX('В08 Каталог'!$D$5:$D$19,MATCH(J5,'В08 Каталог'!$B$5:$B$19,0))))),"Захід не діє на цей тип загрози",IF(AND(INDEX('В08 Каталог'!$C$5:$C$19,MATCH(J5,'В08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IF(J5="","",IFERROR(INDEX('В08 Каталог'!$E$5:$E$19,MATCH(J5,'В08 Каталог'!$B$5:$B$19,0)),""))</f>
        <v/>
      </c>
      <c r="N5" s="22">
        <f>IF(J5="","",IFERROR(INDEX('В08 Каталог'!$C$5:$C$19,MATCH(J5,'В08 Каталог'!$B$5:$B$19,0)),""))</f>
        <v/>
      </c>
      <c r="O5" s="21" t="n"/>
    </row>
    <row r="6">
      <c r="A6" s="15" t="n">
        <v>2</v>
      </c>
      <c r="B6" s="11" t="inlineStr">
        <is>
          <t>M1. Клієнт і картка ↔ POS-термінал на касі (зчитувач картки, ПІН-клавіатура)</t>
        </is>
      </c>
      <c r="C6" s="11" t="inlineStr">
        <is>
          <t>операція за карткою</t>
        </is>
      </c>
      <c r="D6" s="21" t="inlineStr">
        <is>
          <t>R — відмова від дій</t>
        </is>
      </c>
      <c r="E6" s="11" t="inlineStr">
        <is>
          <t>Клієнт заперечує операцію, а журналу з точним часом немає — банк не доведе, що операцію проведено</t>
        </is>
      </c>
      <c r="F6" s="21" t="inlineStr">
        <is>
          <t>організаційна</t>
        </is>
      </c>
      <c r="G6" s="21" t="n">
        <v>2</v>
      </c>
      <c r="H6" s="11" t="inlineStr">
        <is>
          <t>Персонал і процеси</t>
        </is>
      </c>
      <c r="I6" s="21" t="n"/>
      <c r="J6" s="11" t="inlineStr">
        <is>
          <t>ЛР10. Syslog, NTP і моніторинг (лише виявляє)</t>
        </is>
      </c>
      <c r="K6" s="11" t="inlineStr">
        <is>
          <t>Syslog-сервер у зоні керування, NTP на маршрутизаторі й терміналах</t>
        </is>
      </c>
      <c r="L6" s="15">
        <f>IF(I6&lt;&gt;"Так","",IF(J6="","Оберіть захід",IF(K6="","Вкажіть, де в мережі",IF(D6="","Оберіть літеру STRIDE",IF(F6="","Вкажіть природу",IF(AND(INDEX('В08 Каталог'!$C$5:$C$19,MATCH(J6,'В08 Каталог'!$B$5:$B$19,0))="Лабораторна",F6="фізична",INDEX('В08 Каталог'!$A$5:$A$19,MATCH(J6,'В08 Каталог'!$B$5:$B$19,0))&lt;&gt;"L10"),"Мережевий захід не закриває фізичну загрозу",IF(AND(INDEX('В08 Каталог'!$C$5:$C$19,MATCH(J6,'В08 Каталог'!$B$5:$B$19,0))="Лабораторна",ISERROR(SEARCH(LEFT(D6,1),INDEX('В08 Каталог'!$D$5:$D$19,MATCH(J6,'В08 Каталог'!$B$5:$B$19,0))))),"Захід не діє на цей тип загрози",IF(AND(INDEX('В08 Каталог'!$C$5:$C$19,MATCH(J6,'В08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IF(J6="","",IFERROR(INDEX('В08 Каталог'!$E$5:$E$19,MATCH(J6,'В08 Каталог'!$B$5:$B$19,0)),""))</f>
        <v/>
      </c>
      <c r="N6" s="22">
        <f>IF(J6="","",IFERROR(INDEX('В08 Каталог'!$C$5:$C$19,MATCH(J6,'В08 Каталог'!$B$5:$B$19,0)),""))</f>
        <v/>
      </c>
      <c r="O6" s="21" t="n"/>
    </row>
    <row r="7">
      <c r="A7" s="15" t="n">
        <v>3</v>
      </c>
      <c r="B7" s="11" t="inlineStr">
        <is>
          <t>M2. POS-термінал ↔ Wi-Fi відділення (радіоефір доступний будь-кому поблизу)</t>
        </is>
      </c>
      <c r="C7" s="11" t="inlineStr">
        <is>
          <t>платіжне повідомлення POS</t>
        </is>
      </c>
      <c r="D7" s="21" t="inlineStr">
        <is>
          <t>S — підміна</t>
        </is>
      </c>
      <c r="E7" s="11" t="inlineStr">
        <is>
          <t>Сторонній пристрій підключається до Wi-Fi за спільним паролем і видає себе за POS-термінал</t>
        </is>
      </c>
      <c r="F7" s="21" t="inlineStr">
        <is>
          <t>мережева</t>
        </is>
      </c>
      <c r="G7" s="21" t="n">
        <v>3</v>
      </c>
      <c r="H7" s="11" t="inlineStr">
        <is>
          <t>Мережа/ІТ</t>
        </is>
      </c>
      <c r="I7" s="21" t="inlineStr">
        <is>
          <t>Так</t>
        </is>
      </c>
      <c r="J7" s="11" t="inlineStr">
        <is>
          <t>ЛР8. Окремий VLAN для пристроїв і захищена Wi-Fi (WPA2)</t>
        </is>
      </c>
      <c r="K7" s="11" t="inlineStr">
        <is>
          <t>Точки доступу: окремий SSID і VLAN для POS з WPA2-Enterprise (вхід за сертифікатом), гості — окремо</t>
        </is>
      </c>
      <c r="L7" s="15">
        <f>IF(I7&lt;&gt;"Так","",IF(J7="","Оберіть захід",IF(K7="","Вкажіть, де в мережі",IF(D7="","Оберіть літеру STRIDE",IF(F7="","Вкажіть природу",IF(AND(INDEX('В08 Каталог'!$C$5:$C$19,MATCH(J7,'В08 Каталог'!$B$5:$B$19,0))="Лабораторна",F7="фізична",INDEX('В08 Каталог'!$A$5:$A$19,MATCH(J7,'В08 Каталог'!$B$5:$B$19,0))&lt;&gt;"L10"),"Мережевий захід не закриває фізичну загрозу",IF(AND(INDEX('В08 Каталог'!$C$5:$C$19,MATCH(J7,'В08 Каталог'!$B$5:$B$19,0))="Лабораторна",ISERROR(SEARCH(LEFT(D7,1),INDEX('В08 Каталог'!$D$5:$D$19,MATCH(J7,'В08 Каталог'!$B$5:$B$19,0))))),"Захід не діє на цей тип загрози",IF(AND(INDEX('В08 Каталог'!$C$5:$C$19,MATCH(J7,'В08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IF(J7="","",IFERROR(INDEX('В08 Каталог'!$E$5:$E$19,MATCH(J7,'В08 Каталог'!$B$5:$B$19,0)),""))</f>
        <v/>
      </c>
      <c r="N7" s="22">
        <f>IF(J7="","",IFERROR(INDEX('В08 Каталог'!$C$5:$C$19,MATCH(J7,'В08 Каталог'!$B$5:$B$19,0)),""))</f>
        <v/>
      </c>
      <c r="O7" s="21" t="n"/>
    </row>
    <row r="8">
      <c r="A8" s="15" t="n">
        <v>4</v>
      </c>
      <c r="B8" s="11" t="inlineStr">
        <is>
          <t>M2. POS-термінал ↔ Wi-Fi відділення (радіоефір доступний будь-кому поблизу)</t>
        </is>
      </c>
      <c r="C8" s="11" t="inlineStr">
        <is>
          <t>платіжне повідомлення POS</t>
        </is>
      </c>
      <c r="D8" s="21" t="inlineStr">
        <is>
          <t>I — витік</t>
        </is>
      </c>
      <c r="E8" s="11" t="inlineStr">
        <is>
          <t>Зловмисник у залі перехоплює радіотрафік POS (WPA2-PSK, ключ знають і інші) і читає дані транзакцій</t>
        </is>
      </c>
      <c r="F8" s="21" t="inlineStr">
        <is>
          <t>мережева</t>
        </is>
      </c>
      <c r="G8" s="21" t="n">
        <v>3</v>
      </c>
      <c r="H8" s="11" t="inlineStr">
        <is>
          <t>Мережа/ІТ</t>
        </is>
      </c>
      <c r="I8" s="21" t="inlineStr">
        <is>
          <t>Так</t>
        </is>
      </c>
      <c r="J8" s="11" t="inlineStr">
        <is>
          <t>ЛР8. Окремий VLAN для пристроїв і захищена Wi-Fi (WPA2)</t>
        </is>
      </c>
      <c r="K8" s="11" t="inlineStr">
        <is>
          <t>Точки доступу: WPA2-Enterprise для VLAN POS, окремий ключ на кожен пристрій</t>
        </is>
      </c>
      <c r="L8" s="15">
        <f>IF(I8&lt;&gt;"Так","",IF(J8="","Оберіть захід",IF(K8="","Вкажіть, де в мережі",IF(D8="","Оберіть літеру STRIDE",IF(F8="","Вкажіть природу",IF(AND(INDEX('В08 Каталог'!$C$5:$C$19,MATCH(J8,'В08 Каталог'!$B$5:$B$19,0))="Лабораторна",F8="фізична",INDEX('В08 Каталог'!$A$5:$A$19,MATCH(J8,'В08 Каталог'!$B$5:$B$19,0))&lt;&gt;"L10"),"Мережевий захід не закриває фізичну загрозу",IF(AND(INDEX('В08 Каталог'!$C$5:$C$19,MATCH(J8,'В08 Каталог'!$B$5:$B$19,0))="Лабораторна",ISERROR(SEARCH(LEFT(D8,1),INDEX('В08 Каталог'!$D$5:$D$19,MATCH(J8,'В08 Каталог'!$B$5:$B$19,0))))),"Захід не діє на цей тип загрози",IF(AND(INDEX('В08 Каталог'!$C$5:$C$19,MATCH(J8,'В08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IF(J8="","",IFERROR(INDEX('В08 Каталог'!$E$5:$E$19,MATCH(J8,'В08 Каталог'!$B$5:$B$19,0)),""))</f>
        <v/>
      </c>
      <c r="N8" s="22">
        <f>IF(J8="","",IFERROR(INDEX('В08 Каталог'!$C$5:$C$19,MATCH(J8,'В08 Каталог'!$B$5:$B$19,0)),""))</f>
        <v/>
      </c>
      <c r="O8" s="21" t="n"/>
    </row>
    <row r="9">
      <c r="A9" s="15" t="n">
        <v>5</v>
      </c>
      <c r="B9" s="11" t="inlineStr">
        <is>
          <t>M2. POS-термінал ↔ Wi-Fi відділення (радіоефір доступний будь-кому поблизу)</t>
        </is>
      </c>
      <c r="C9" s="11" t="inlineStr">
        <is>
          <t>зв'язок POS із мережею</t>
        </is>
      </c>
      <c r="D9" s="21" t="inlineStr">
        <is>
          <t>D — відмова в обслуговуванні</t>
        </is>
      </c>
      <c r="E9" s="11" t="inlineStr">
        <is>
          <t>Глушіння або деавтентифікація Wi-Fi — POS на касі перестає приймати картки</t>
        </is>
      </c>
      <c r="F9" s="21" t="inlineStr">
        <is>
          <t>фізична</t>
        </is>
      </c>
      <c r="G9" s="21" t="n">
        <v>2</v>
      </c>
      <c r="H9" s="11" t="inlineStr">
        <is>
          <t>Живлення і зв'язок</t>
        </is>
      </c>
      <c r="I9" s="21" t="n"/>
      <c r="J9" s="11" t="inlineStr">
        <is>
          <t>Поза курсом: резервний канал і угода про рівень обслуговування</t>
        </is>
      </c>
      <c r="K9" s="11" t="inlineStr">
        <is>
          <t>Каса: резервне дротове підключення POS до комутатора на випадок збою Wi-Fi</t>
        </is>
      </c>
      <c r="L9" s="15">
        <f>IF(I9&lt;&gt;"Так","",IF(J9="","Оберіть захід",IF(K9="","Вкажіть, де в мережі",IF(D9="","Оберіть літеру STRIDE",IF(F9="","Вкажіть природу",IF(AND(INDEX('В08 Каталог'!$C$5:$C$19,MATCH(J9,'В08 Каталог'!$B$5:$B$19,0))="Лабораторна",F9="фізична",INDEX('В08 Каталог'!$A$5:$A$19,MATCH(J9,'В08 Каталог'!$B$5:$B$19,0))&lt;&gt;"L10"),"Мережевий захід не закриває фізичну загрозу",IF(AND(INDEX('В08 Каталог'!$C$5:$C$19,MATCH(J9,'В08 Каталог'!$B$5:$B$19,0))="Лабораторна",ISERROR(SEARCH(LEFT(D9,1),INDEX('В08 Каталог'!$D$5:$D$19,MATCH(J9,'В08 Каталог'!$B$5:$B$19,0))))),"Захід не діє на цей тип загрози",IF(AND(INDEX('В08 Каталог'!$C$5:$C$19,MATCH(J9,'В08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IF(J9="","",IFERROR(INDEX('В08 Каталог'!$E$5:$E$19,MATCH(J9,'В08 Каталог'!$B$5:$B$19,0)),""))</f>
        <v/>
      </c>
      <c r="N9" s="22">
        <f>IF(J9="","",IFERROR(INDEX('В08 Каталог'!$C$5:$C$19,MATCH(J9,'В08 Каталог'!$B$5:$B$19,0)),""))</f>
        <v/>
      </c>
      <c r="O9" s="21" t="n"/>
    </row>
    <row r="10">
      <c r="A10" s="15" t="n">
        <v>6</v>
      </c>
      <c r="B10" s="11" t="inlineStr">
        <is>
          <t>M3. Точки доступу Wi-Fi ↔ дротова мережа відділення (комутатори, каси, АБС)</t>
        </is>
      </c>
      <c r="C10" s="11" t="inlineStr">
        <is>
          <t>доступ до дротової мережі</t>
        </is>
      </c>
      <c r="D10" s="21" t="inlineStr">
        <is>
          <t>E — підвищення прав</t>
        </is>
      </c>
      <c r="E10" s="11" t="inlineStr">
        <is>
          <t>Гість або сторонній пристрій із Wi-Fi потрапляє в плоску мережу й отримує доступ до кас і терміналів АБС</t>
        </is>
      </c>
      <c r="F10" s="21" t="inlineStr">
        <is>
          <t>мережева</t>
        </is>
      </c>
      <c r="G10" s="21" t="n">
        <v>3</v>
      </c>
      <c r="H10" s="11" t="inlineStr">
        <is>
          <t>Мережа/ІТ</t>
        </is>
      </c>
      <c r="I10" s="21" t="inlineStr">
        <is>
          <t>Так</t>
        </is>
      </c>
      <c r="J10" s="11" t="inlineStr">
        <is>
          <t>ЛР1. Сегментація VLAN і маршрутизація між ними</t>
        </is>
      </c>
      <c r="K10" s="11" t="inlineStr">
        <is>
          <t>Комутатор доступу: VLAN POS / каси / гості, маршрутизація між VLAN лише через маршрутизатор з ACL</t>
        </is>
      </c>
      <c r="L10" s="15">
        <f>IF(I10&lt;&gt;"Так","",IF(J10="","Оберіть захід",IF(K10="","Вкажіть, де в мережі",IF(D10="","Оберіть літеру STRIDE",IF(F10="","Вкажіть природу",IF(AND(INDEX('В08 Каталог'!$C$5:$C$19,MATCH(J10,'В08 Каталог'!$B$5:$B$19,0))="Лабораторна",F10="фізична",INDEX('В08 Каталог'!$A$5:$A$19,MATCH(J10,'В08 Каталог'!$B$5:$B$19,0))&lt;&gt;"L10"),"Мережевий захід не закриває фізичну загрозу",IF(AND(INDEX('В08 Каталог'!$C$5:$C$19,MATCH(J10,'В08 Каталог'!$B$5:$B$19,0))="Лабораторна",ISERROR(SEARCH(LEFT(D10,1),INDEX('В08 Каталог'!$D$5:$D$19,MATCH(J10,'В08 Каталог'!$B$5:$B$19,0))))),"Захід не діє на цей тип загрози",IF(AND(INDEX('В08 Каталог'!$C$5:$C$19,MATCH(J10,'В08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IF(J10="","",IFERROR(INDEX('В08 Каталог'!$E$5:$E$19,MATCH(J10,'В08 Каталог'!$B$5:$B$19,0)),""))</f>
        <v/>
      </c>
      <c r="N10" s="22">
        <f>IF(J10="","",IFERROR(INDEX('В08 Каталог'!$C$5:$C$19,MATCH(J10,'В08 Каталог'!$B$5:$B$19,0)),""))</f>
        <v/>
      </c>
      <c r="O10" s="21" t="n"/>
    </row>
    <row r="11">
      <c r="A11" s="15" t="n">
        <v>7</v>
      </c>
      <c r="B11" s="11" t="inlineStr">
        <is>
          <t>M3. Точки доступу Wi-Fi ↔ дротова мережа відділення (комутатори, каси, АБС)</t>
        </is>
      </c>
      <c r="C11" s="11" t="inlineStr">
        <is>
          <t>мережеві налаштування POS</t>
        </is>
      </c>
      <c r="D11" s="21" t="inlineStr">
        <is>
          <t>S — підміна</t>
        </is>
      </c>
      <c r="E11" s="11" t="inlineStr">
        <is>
          <t>Підроблений DHCP-сервер роздає свій шлюз, і трафік POS іде через пристрій зловмисника</t>
        </is>
      </c>
      <c r="F11" s="21" t="inlineStr">
        <is>
          <t>мережева</t>
        </is>
      </c>
      <c r="G11" s="21" t="n">
        <v>2</v>
      </c>
      <c r="H11" s="11" t="inlineStr">
        <is>
          <t>Мережа/ІТ</t>
        </is>
      </c>
      <c r="I11" s="21" t="n"/>
      <c r="J11" s="11" t="inlineStr">
        <is>
          <t>ЛР3. DHCP Snooping</t>
        </is>
      </c>
      <c r="K11" s="11" t="inlineStr">
        <is>
          <t>Комутатори: DHCP Snooping, довірений лише порт до маршрутизатора</t>
        </is>
      </c>
      <c r="L11" s="15">
        <f>IF(I11&lt;&gt;"Так","",IF(J11="","Оберіть захід",IF(K11="","Вкажіть, де в мережі",IF(D11="","Оберіть літеру STRIDE",IF(F11="","Вкажіть природу",IF(AND(INDEX('В08 Каталог'!$C$5:$C$19,MATCH(J11,'В08 Каталог'!$B$5:$B$19,0))="Лабораторна",F11="фізична",INDEX('В08 Каталог'!$A$5:$A$19,MATCH(J11,'В08 Каталог'!$B$5:$B$19,0))&lt;&gt;"L10"),"Мережевий захід не закриває фізичну загрозу",IF(AND(INDEX('В08 Каталог'!$C$5:$C$19,MATCH(J11,'В08 Каталог'!$B$5:$B$19,0))="Лабораторна",ISERROR(SEARCH(LEFT(D11,1),INDEX('В08 Каталог'!$D$5:$D$19,MATCH(J11,'В08 Каталог'!$B$5:$B$19,0))))),"Захід не діє на цей тип загрози",IF(AND(INDEX('В08 Каталог'!$C$5:$C$19,MATCH(J11,'В08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IF(J11="","",IFERROR(INDEX('В08 Каталог'!$E$5:$E$19,MATCH(J11,'В08 Каталог'!$B$5:$B$19,0)),""))</f>
        <v/>
      </c>
      <c r="N11" s="22">
        <f>IF(J11="","",IFERROR(INDEX('В08 Каталог'!$C$5:$C$19,MATCH(J11,'В08 Каталог'!$B$5:$B$19,0)),""))</f>
        <v/>
      </c>
      <c r="O11" s="21" t="n"/>
    </row>
    <row r="12">
      <c r="A12" s="15" t="n">
        <v>8</v>
      </c>
      <c r="B12" s="11" t="inlineStr">
        <is>
          <t>M3. Точки доступу Wi-Fi ↔ дротова мережа відділення (комутатори, каси, АБС)</t>
        </is>
      </c>
      <c r="C12" s="11" t="inlineStr">
        <is>
          <t>платіжне повідомлення POS</t>
        </is>
      </c>
      <c r="D12" s="21" t="inlineStr">
        <is>
          <t>T — зміна даних</t>
        </is>
      </c>
      <c r="E12" s="11" t="inlineStr">
        <is>
          <t>Атака «людина посередині» в мережі відділення змінює повідомлення POS дорогою до маршрутизатора</t>
        </is>
      </c>
      <c r="F12" s="21" t="inlineStr">
        <is>
          <t>мережева</t>
        </is>
      </c>
      <c r="G12" s="21" t="n">
        <v>2</v>
      </c>
      <c r="H12" s="11" t="inlineStr">
        <is>
          <t>Шахрайство з картками</t>
        </is>
      </c>
      <c r="I12" s="21" t="n"/>
      <c r="J12" s="11" t="inlineStr">
        <is>
          <t>ЛР3. DHCP Snooping</t>
        </is>
      </c>
      <c r="K12" s="11" t="inlineStr">
        <is>
          <t>Комутатори: DHCP Snooping + перевірка ARP на портах доступу</t>
        </is>
      </c>
      <c r="L12" s="15">
        <f>IF(I12&lt;&gt;"Так","",IF(J12="","Оберіть захід",IF(K12="","Вкажіть, де в мережі",IF(D12="","Оберіть літеру STRIDE",IF(F12="","Вкажіть природу",IF(AND(INDEX('В08 Каталог'!$C$5:$C$19,MATCH(J12,'В08 Каталог'!$B$5:$B$19,0))="Лабораторна",F12="фізична",INDEX('В08 Каталог'!$A$5:$A$19,MATCH(J12,'В08 Каталог'!$B$5:$B$19,0))&lt;&gt;"L10"),"Мережевий захід не закриває фізичну загрозу",IF(AND(INDEX('В08 Каталог'!$C$5:$C$19,MATCH(J12,'В08 Каталог'!$B$5:$B$19,0))="Лабораторна",ISERROR(SEARCH(LEFT(D12,1),INDEX('В08 Каталог'!$D$5:$D$19,MATCH(J12,'В08 Каталог'!$B$5:$B$19,0))))),"Захід не діє на цей тип загрози",IF(AND(INDEX('В08 Каталог'!$C$5:$C$19,MATCH(J12,'В08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IF(J12="","",IFERROR(INDEX('В08 Каталог'!$E$5:$E$19,MATCH(J12,'В08 Каталог'!$B$5:$B$19,0)),""))</f>
        <v/>
      </c>
      <c r="N12" s="22">
        <f>IF(J12="","",IFERROR(INDEX('В08 Каталог'!$C$5:$C$19,MATCH(J12,'В08 Каталог'!$B$5:$B$19,0)),""))</f>
        <v/>
      </c>
      <c r="O12" s="21" t="n"/>
    </row>
    <row r="13">
      <c r="A13" s="15" t="n">
        <v>9</v>
      </c>
      <c r="B13" s="11" t="inlineStr">
        <is>
          <t>M4. Маршрутизатор відділення ↔ виділена лінія оператора до головного офісу</t>
        </is>
      </c>
      <c r="C13" s="11" t="inlineStr">
        <is>
          <t>платіжне повідомлення</t>
        </is>
      </c>
      <c r="D13" s="21" t="inlineStr">
        <is>
          <t>I — витік</t>
        </is>
      </c>
      <c r="E13" s="11" t="inlineStr">
        <is>
          <t>Хтось на боці оператора або з доступом до лінії читає незашифрований платіжний трафік</t>
        </is>
      </c>
      <c r="F13" s="21" t="inlineStr">
        <is>
          <t>мережева</t>
        </is>
      </c>
      <c r="G13" s="21" t="n">
        <v>3</v>
      </c>
      <c r="H13" s="11" t="inlineStr">
        <is>
          <t>Мережа/ІТ</t>
        </is>
      </c>
      <c r="I13" s="21" t="inlineStr">
        <is>
          <t>Так</t>
        </is>
      </c>
      <c r="J13" s="11" t="inlineStr">
        <is>
          <t>ЛР7. IPsec VPN між відділенням і головним офісом</t>
        </is>
      </c>
      <c r="K13" s="11" t="inlineStr">
        <is>
          <t>Маршрутизатор відділення ↔ маршрутизатор ГО: IPsec-тунель поверх виділеної лінії</t>
        </is>
      </c>
      <c r="L13" s="15">
        <f>IF(I13&lt;&gt;"Так","",IF(J13="","Оберіть захід",IF(K13="","Вкажіть, де в мережі",IF(D13="","Оберіть літеру STRIDE",IF(F13="","Вкажіть природу",IF(AND(INDEX('В08 Каталог'!$C$5:$C$19,MATCH(J13,'В08 Каталог'!$B$5:$B$19,0))="Лабораторна",F13="фізична",INDEX('В08 Каталог'!$A$5:$A$19,MATCH(J13,'В08 Каталог'!$B$5:$B$19,0))&lt;&gt;"L10"),"Мережевий захід не закриває фізичну загрозу",IF(AND(INDEX('В08 Каталог'!$C$5:$C$19,MATCH(J13,'В08 Каталог'!$B$5:$B$19,0))="Лабораторна",ISERROR(SEARCH(LEFT(D13,1),INDEX('В08 Каталог'!$D$5:$D$19,MATCH(J13,'В08 Каталог'!$B$5:$B$19,0))))),"Захід не діє на цей тип загрози",IF(AND(INDEX('В08 Каталог'!$C$5:$C$19,MATCH(J13,'В08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IF(J13="","",IFERROR(INDEX('В08 Каталог'!$E$5:$E$19,MATCH(J13,'В08 Каталог'!$B$5:$B$19,0)),""))</f>
        <v/>
      </c>
      <c r="N13" s="22">
        <f>IF(J13="","",IFERROR(INDEX('В08 Каталог'!$C$5:$C$19,MATCH(J13,'В08 Каталог'!$B$5:$B$19,0)),""))</f>
        <v/>
      </c>
      <c r="O13" s="21" t="n"/>
    </row>
    <row r="14">
      <c r="A14" s="15" t="n">
        <v>10</v>
      </c>
      <c r="B14" s="11" t="inlineStr">
        <is>
          <t>M4. Маршрутизатор відділення ↔ виділена лінія оператора до головного офісу</t>
        </is>
      </c>
      <c r="C14" s="11" t="inlineStr">
        <is>
          <t>зв'язок відділення з ГО</t>
        </is>
      </c>
      <c r="D14" s="21" t="inlineStr">
        <is>
          <t>D — відмова в обслуговуванні</t>
        </is>
      </c>
      <c r="E14" s="11" t="inlineStr">
        <is>
          <t>Обрив виділеної лінії — жодна операція з POS не проходить до шлюзу</t>
        </is>
      </c>
      <c r="F14" s="21" t="inlineStr">
        <is>
          <t>фізична</t>
        </is>
      </c>
      <c r="G14" s="21" t="n">
        <v>2</v>
      </c>
      <c r="H14" s="11" t="inlineStr">
        <is>
          <t>Живлення і зв'язок</t>
        </is>
      </c>
      <c r="I14" s="21" t="n"/>
      <c r="J14" s="11" t="inlineStr">
        <is>
          <t>Поза курсом: резервний канал і угода про рівень обслуговування</t>
        </is>
      </c>
      <c r="K14" s="11" t="inlineStr">
        <is>
          <t>Маршрутизатор: резервний LTE-канал і SLA з оператором</t>
        </is>
      </c>
      <c r="L14" s="15">
        <f>IF(I14&lt;&gt;"Так","",IF(J14="","Оберіть захід",IF(K14="","Вкажіть, де в мережі",IF(D14="","Оберіть літеру STRIDE",IF(F14="","Вкажіть природу",IF(AND(INDEX('В08 Каталог'!$C$5:$C$19,MATCH(J14,'В08 Каталог'!$B$5:$B$19,0))="Лабораторна",F14="фізична",INDEX('В08 Каталог'!$A$5:$A$19,MATCH(J14,'В08 Каталог'!$B$5:$B$19,0))&lt;&gt;"L10"),"Мережевий захід не закриває фізичну загрозу",IF(AND(INDEX('В08 Каталог'!$C$5:$C$19,MATCH(J14,'В08 Каталог'!$B$5:$B$19,0))="Лабораторна",ISERROR(SEARCH(LEFT(D14,1),INDEX('В08 Каталог'!$D$5:$D$19,MATCH(J14,'В08 Каталог'!$B$5:$B$19,0))))),"Захід не діє на цей тип загрози",IF(AND(INDEX('В08 Каталог'!$C$5:$C$19,MATCH(J14,'В08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IF(J14="","",IFERROR(INDEX('В08 Каталог'!$E$5:$E$19,MATCH(J14,'В08 Каталог'!$B$5:$B$19,0)),""))</f>
        <v/>
      </c>
      <c r="N14" s="22">
        <f>IF(J14="","",IFERROR(INDEX('В08 Каталог'!$C$5:$C$19,MATCH(J14,'В08 Каталог'!$B$5:$B$19,0)),""))</f>
        <v/>
      </c>
      <c r="O14" s="21" t="n"/>
    </row>
    <row r="15">
      <c r="A15" s="15" t="n">
        <v>11</v>
      </c>
      <c r="B15" s="11" t="inlineStr">
        <is>
          <t>M5. Головний офіс ↔ платіжний шлюз і АБС у центрі обробки</t>
        </is>
      </c>
      <c r="C15" s="11" t="inlineStr">
        <is>
          <t>запит до шлюзу й АБС</t>
        </is>
      </c>
      <c r="D15" s="21" t="inlineStr">
        <is>
          <t>S — підміна</t>
        </is>
      </c>
      <c r="E15" s="11" t="inlineStr">
        <is>
          <t>Зламаний ПК відділення надсилає до шлюзу/АБС запити від імені POS — фальшиві операції</t>
        </is>
      </c>
      <c r="F15" s="21" t="inlineStr">
        <is>
          <t>мережева</t>
        </is>
      </c>
      <c r="G15" s="21" t="n">
        <v>3</v>
      </c>
      <c r="H15" s="11" t="inlineStr">
        <is>
          <t>Мережа/ІТ</t>
        </is>
      </c>
      <c r="I15" s="21" t="inlineStr">
        <is>
          <t>Так</t>
        </is>
      </c>
      <c r="J15" s="11" t="inlineStr">
        <is>
          <t>ЛР5. Міжмережевий екран ASA: зони й NAT</t>
        </is>
      </c>
      <c r="K15" s="11" t="inlineStr">
        <is>
          <t>Міжмережевий екран ASA на виході відділення: до шлюзу дозволено лише з VLAN POS</t>
        </is>
      </c>
      <c r="L15" s="15">
        <f>IF(I15&lt;&gt;"Так","",IF(J15="","Оберіть захід",IF(K15="","Вкажіть, де в мережі",IF(D15="","Оберіть літеру STRIDE",IF(F15="","Вкажіть природу",IF(AND(INDEX('В08 Каталог'!$C$5:$C$19,MATCH(J15,'В08 Каталог'!$B$5:$B$19,0))="Лабораторна",F15="фізична",INDEX('В08 Каталог'!$A$5:$A$19,MATCH(J15,'В08 Каталог'!$B$5:$B$19,0))&lt;&gt;"L10"),"Мережевий захід не закриває фізичну загрозу",IF(AND(INDEX('В08 Каталог'!$C$5:$C$19,MATCH(J15,'В08 Каталог'!$B$5:$B$19,0))="Лабораторна",ISERROR(SEARCH(LEFT(D15,1),INDEX('В08 Каталог'!$D$5:$D$19,MATCH(J15,'В08 Каталог'!$B$5:$B$19,0))))),"Захід не діє на цей тип загрози",IF(AND(INDEX('В08 Каталог'!$C$5:$C$19,MATCH(J15,'В08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IF(J15="","",IFERROR(INDEX('В08 Каталог'!$E$5:$E$19,MATCH(J15,'В08 Каталог'!$B$5:$B$19,0)),""))</f>
        <v/>
      </c>
      <c r="N15" s="22">
        <f>IF(J15="","",IFERROR(INDEX('В08 Каталог'!$C$5:$C$19,MATCH(J15,'В08 Каталог'!$B$5:$B$19,0)),""))</f>
        <v/>
      </c>
      <c r="O15" s="21" t="n"/>
    </row>
    <row r="16">
      <c r="A16" s="15" t="n">
        <v>12</v>
      </c>
      <c r="B16" s="11" t="inlineStr">
        <is>
          <t>M5. Головний офіс ↔ платіжний шлюз і АБС у центрі обробки</t>
        </is>
      </c>
      <c r="C16" s="11" t="inlineStr">
        <is>
          <t>платіжне повідомлення</t>
        </is>
      </c>
      <c r="D16" s="21" t="inlineStr">
        <is>
          <t>T — зміна даних</t>
        </is>
      </c>
      <c r="E16" s="11" t="inlineStr">
        <is>
          <t>Зміна суми чи реквізитів платіжного повідомлення між відділенням і шлюзом — гроші йдуть шахраю</t>
        </is>
      </c>
      <c r="F16" s="21" t="inlineStr">
        <is>
          <t>мережева</t>
        </is>
      </c>
      <c r="G16" s="21" t="n">
        <v>3</v>
      </c>
      <c r="H16" s="11" t="inlineStr">
        <is>
          <t>Шахрайство з картками</t>
        </is>
      </c>
      <c r="I16" s="21" t="inlineStr">
        <is>
          <t>Так</t>
        </is>
      </c>
      <c r="J16" s="11" t="inlineStr">
        <is>
          <t>ЛР7. IPsec VPN між відділенням і головним офісом</t>
        </is>
      </c>
      <c r="K16" s="11" t="inlineStr">
        <is>
          <t>IPsec (ESP з контролем цілісності) між маршрутизатором відділення і ГО</t>
        </is>
      </c>
      <c r="L16" s="15">
        <f>IF(I16&lt;&gt;"Так","",IF(J16="","Оберіть захід",IF(K16="","Вкажіть, де в мережі",IF(D16="","Оберіть літеру STRIDE",IF(F16="","Вкажіть природу",IF(AND(INDEX('В08 Каталог'!$C$5:$C$19,MATCH(J16,'В08 Каталог'!$B$5:$B$19,0))="Лабораторна",F16="фізична",INDEX('В08 Каталог'!$A$5:$A$19,MATCH(J16,'В08 Каталог'!$B$5:$B$19,0))&lt;&gt;"L10"),"Мережевий захід не закриває фізичну загрозу",IF(AND(INDEX('В08 Каталог'!$C$5:$C$19,MATCH(J16,'В08 Каталог'!$B$5:$B$19,0))="Лабораторна",ISERROR(SEARCH(LEFT(D16,1),INDEX('В08 Каталог'!$D$5:$D$19,MATCH(J16,'В08 Каталог'!$B$5:$B$19,0))))),"Захід не діє на цей тип загрози",IF(AND(INDEX('В08 Каталог'!$C$5:$C$19,MATCH(J16,'В08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IF(J16="","",IFERROR(INDEX('В08 Каталог'!$E$5:$E$19,MATCH(J16,'В08 Каталог'!$B$5:$B$19,0)),""))</f>
        <v/>
      </c>
      <c r="N16" s="22">
        <f>IF(J16="","",IFERROR(INDEX('В08 Каталог'!$C$5:$C$19,MATCH(J16,'В08 Каталог'!$B$5:$B$19,0)),""))</f>
        <v/>
      </c>
      <c r="O16" s="21" t="n"/>
    </row>
    <row r="17">
      <c r="A17" s="15" t="n">
        <v>13</v>
      </c>
      <c r="B17" s="11" t="inlineStr">
        <is>
          <t>M5. Головний офіс ↔ платіжний шлюз і АБС у центрі обробки</t>
        </is>
      </c>
      <c r="C17" s="11" t="inlineStr">
        <is>
          <t>журнали подій</t>
        </is>
      </c>
      <c r="D17" s="21" t="inlineStr">
        <is>
          <t>R — відмова від дій</t>
        </is>
      </c>
      <c r="E17" s="11" t="inlineStr">
        <is>
          <t>Шлюз і маршрутизатор не зберігають журналу — після шахрайства не відновити, хто і що зробив</t>
        </is>
      </c>
      <c r="F17" s="21" t="inlineStr">
        <is>
          <t>мережева</t>
        </is>
      </c>
      <c r="G17" s="21" t="n">
        <v>2</v>
      </c>
      <c r="H17" s="11" t="inlineStr">
        <is>
          <t>Персонал і процеси</t>
        </is>
      </c>
      <c r="I17" s="21" t="n"/>
      <c r="J17" s="11" t="inlineStr">
        <is>
          <t>ЛР10. Syslog, NTP і моніторинг (лише виявляє)</t>
        </is>
      </c>
      <c r="K17" s="11" t="inlineStr">
        <is>
          <t>Syslog і NTP на маршрутизаторі та ASA, журнали в ГО</t>
        </is>
      </c>
      <c r="L17" s="15">
        <f>IF(I17&lt;&gt;"Так","",IF(J17="","Оберіть захід",IF(K17="","Вкажіть, де в мережі",IF(D17="","Оберіть літеру STRIDE",IF(F17="","Вкажіть природу",IF(AND(INDEX('В08 Каталог'!$C$5:$C$19,MATCH(J17,'В08 Каталог'!$B$5:$B$19,0))="Лабораторна",F17="фізична",INDEX('В08 Каталог'!$A$5:$A$19,MATCH(J17,'В08 Каталог'!$B$5:$B$19,0))&lt;&gt;"L10"),"Мережевий захід не закриває фізичну загрозу",IF(AND(INDEX('В08 Каталог'!$C$5:$C$19,MATCH(J17,'В08 Каталог'!$B$5:$B$19,0))="Лабораторна",ISERROR(SEARCH(LEFT(D17,1),INDEX('В08 Каталог'!$D$5:$D$19,MATCH(J17,'В08 Каталог'!$B$5:$B$19,0))))),"Захід не діє на цей тип загрози",IF(AND(INDEX('В08 Каталог'!$C$5:$C$19,MATCH(J17,'В08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IF(J17="","",IFERROR(INDEX('В08 Каталог'!$E$5:$E$19,MATCH(J17,'В08 Каталог'!$B$5:$B$19,0)),""))</f>
        <v/>
      </c>
      <c r="N17" s="22">
        <f>IF(J17="","",IFERROR(INDEX('В08 Каталог'!$C$5:$C$19,MATCH(J17,'В08 Каталог'!$B$5:$B$19,0)),""))</f>
        <v/>
      </c>
      <c r="O17" s="21" t="n"/>
    </row>
    <row r="18">
      <c r="A18" s="15" t="n">
        <v>14</v>
      </c>
      <c r="B18" s="11" t="inlineStr">
        <is>
          <t>M6. Підрядник-інтегратор ↔ інтерфейси керування Wi-Fi і комутаторів</t>
        </is>
      </c>
      <c r="C18" s="11" t="inlineStr">
        <is>
          <t>керування комутаторами й Wi-Fi</t>
        </is>
      </c>
      <c r="D18" s="21" t="inlineStr">
        <is>
          <t>E — підвищення прав</t>
        </is>
      </c>
      <c r="E18" s="11" t="inlineStr">
        <is>
          <t>Підрядник має повні права на комутатори й Wi-Fi і може перевести POS у свій VLAN або вимкнути захист</t>
        </is>
      </c>
      <c r="F18" s="21" t="inlineStr">
        <is>
          <t>мережева</t>
        </is>
      </c>
      <c r="G18" s="21" t="n">
        <v>2</v>
      </c>
      <c r="H18" s="11" t="inlineStr">
        <is>
          <t>Персонал і процеси</t>
        </is>
      </c>
      <c r="I18" s="21" t="n"/>
      <c r="J18" s="11" t="inlineStr">
        <is>
          <t>ЛР9. SSH, AAA і RADIUS, ролі адміністраторів</t>
        </is>
      </c>
      <c r="K18" s="11" t="inlineStr">
        <is>
          <t>Комутатори й контролер Wi-Fi: AAA/RADIUS, окрема роль підрядника лише з правами на Wi-Fi</t>
        </is>
      </c>
      <c r="L18" s="15">
        <f>IF(I18&lt;&gt;"Так","",IF(J18="","Оберіть захід",IF(K18="","Вкажіть, де в мережі",IF(D18="","Оберіть літеру STRIDE",IF(F18="","Вкажіть природу",IF(AND(INDEX('В08 Каталог'!$C$5:$C$19,MATCH(J18,'В08 Каталог'!$B$5:$B$19,0))="Лабораторна",F18="фізична",INDEX('В08 Каталог'!$A$5:$A$19,MATCH(J18,'В08 Каталог'!$B$5:$B$19,0))&lt;&gt;"L10"),"Мережевий захід не закриває фізичну загрозу",IF(AND(INDEX('В08 Каталог'!$C$5:$C$19,MATCH(J18,'В08 Каталог'!$B$5:$B$19,0))="Лабораторна",ISERROR(SEARCH(LEFT(D18,1),INDEX('В08 Каталог'!$D$5:$D$19,MATCH(J18,'В08 Каталог'!$B$5:$B$19,0))))),"Захід не діє на цей тип загрози",IF(AND(INDEX('В08 Каталог'!$C$5:$C$19,MATCH(J18,'В08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IF(J18="","",IFERROR(INDEX('В08 Каталог'!$E$5:$E$19,MATCH(J18,'В08 Каталог'!$B$5:$B$19,0)),""))</f>
        <v/>
      </c>
      <c r="N18" s="22">
        <f>IF(J18="","",IFERROR(INDEX('В08 Каталог'!$C$5:$C$19,MATCH(J18,'В08 Каталог'!$B$5:$B$19,0)),""))</f>
        <v/>
      </c>
      <c r="O18" s="21" t="n"/>
    </row>
    <row r="19">
      <c r="A19" s="15" t="n">
        <v>15</v>
      </c>
      <c r="B19" s="11" t="inlineStr">
        <is>
          <t>M6. Підрядник-інтегратор ↔ інтерфейси керування Wi-Fi і комутаторів</t>
        </is>
      </c>
      <c r="C19" s="11" t="inlineStr">
        <is>
          <t>облікові дані адміністратора</t>
        </is>
      </c>
      <c r="D19" s="21" t="inlineStr">
        <is>
          <t>S — підміна</t>
        </is>
      </c>
      <c r="E19" s="11" t="inlineStr">
        <is>
          <t>Спільний пароль адміністратора лишається в підрядника й після договору — вхід від імені банку</t>
        </is>
      </c>
      <c r="F19" s="21" t="inlineStr">
        <is>
          <t>мережева</t>
        </is>
      </c>
      <c r="G19" s="21" t="n">
        <v>3</v>
      </c>
      <c r="H19" s="11" t="inlineStr">
        <is>
          <t>Мережа/ІТ</t>
        </is>
      </c>
      <c r="I19" s="21" t="inlineStr">
        <is>
          <t>Так</t>
        </is>
      </c>
      <c r="J19" s="11" t="inlineStr">
        <is>
          <t>ЛР9. SSH, AAA і RADIUS, ролі адміністраторів</t>
        </is>
      </c>
      <c r="K19" s="11" t="inlineStr">
        <is>
          <t>Усі мережеві пристрої: персональні облікові записи через RADIUS, лише SSH, блокування після договору</t>
        </is>
      </c>
      <c r="L19" s="15">
        <f>IF(I19&lt;&gt;"Так","",IF(J19="","Оберіть захід",IF(K19="","Вкажіть, де в мережі",IF(D19="","Оберіть літеру STRIDE",IF(F19="","Вкажіть природу",IF(AND(INDEX('В08 Каталог'!$C$5:$C$19,MATCH(J19,'В08 Каталог'!$B$5:$B$19,0))="Лабораторна",F19="фізична",INDEX('В08 Каталог'!$A$5:$A$19,MATCH(J19,'В08 Каталог'!$B$5:$B$19,0))&lt;&gt;"L10"),"Мережевий захід не закриває фізичну загрозу",IF(AND(INDEX('В08 Каталог'!$C$5:$C$19,MATCH(J19,'В08 Каталог'!$B$5:$B$19,0))="Лабораторна",ISERROR(SEARCH(LEFT(D19,1),INDEX('В08 Каталог'!$D$5:$D$19,MATCH(J19,'В08 Каталог'!$B$5:$B$19,0))))),"Захід не діє на цей тип загрози",IF(AND(INDEX('В08 Каталог'!$C$5:$C$19,MATCH(J19,'В08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IF(J19="","",IFERROR(INDEX('В08 Каталог'!$E$5:$E$19,MATCH(J19,'В08 Каталог'!$B$5:$B$19,0)),""))</f>
        <v/>
      </c>
      <c r="N19" s="22">
        <f>IF(J19="","",IFERROR(INDEX('В08 Каталог'!$C$5:$C$19,MATCH(J19,'В08 Каталог'!$B$5:$B$19,0)),""))</f>
        <v/>
      </c>
      <c r="O19" s="21" t="n"/>
    </row>
    <row r="20">
      <c r="A20" s="15" t="n">
        <v>16</v>
      </c>
      <c r="B20" s="11" t="inlineStr">
        <is>
          <t>M6. Підрядник-інтегратор ↔ інтерфейси керування Wi-Fi і комутаторів</t>
        </is>
      </c>
      <c r="C20" s="11" t="inlineStr">
        <is>
          <t>дії підрядника</t>
        </is>
      </c>
      <c r="D20" s="21" t="inlineStr">
        <is>
          <t>R — відмова від дій</t>
        </is>
      </c>
      <c r="E20" s="11" t="inlineStr">
        <is>
          <t>Підрядник заперечує, що змінював конфігурацію, — немає ні журналу, ні регламенту робіт</t>
        </is>
      </c>
      <c r="F20" s="21" t="inlineStr">
        <is>
          <t>організаційна</t>
        </is>
      </c>
      <c r="G20" s="21" t="n">
        <v>2</v>
      </c>
      <c r="H20" s="11" t="inlineStr">
        <is>
          <t>Персонал і процеси</t>
        </is>
      </c>
      <c r="I20" s="21" t="n"/>
      <c r="J20" s="11" t="inlineStr">
        <is>
          <t>Поза курсом: договір, регламент, журнал відвідувань підрядника</t>
        </is>
      </c>
      <c r="K20" s="11" t="inlineStr">
        <is>
          <t>Договір і регламент: заявка на кожен вхід, журнал відвідувань, супровід адміністратора банку</t>
        </is>
      </c>
      <c r="L20" s="15">
        <f>IF(I20&lt;&gt;"Так","",IF(J20="","Оберіть захід",IF(K20="","Вкажіть, де в мережі",IF(D20="","Оберіть літеру STRIDE",IF(F20="","Вкажіть природу",IF(AND(INDEX('В08 Каталог'!$C$5:$C$19,MATCH(J20,'В08 Каталог'!$B$5:$B$19,0))="Лабораторна",F20="фізична",INDEX('В08 Каталог'!$A$5:$A$19,MATCH(J20,'В08 Каталог'!$B$5:$B$19,0))&lt;&gt;"L10"),"Мережевий захід не закриває фізичну загрозу",IF(AND(INDEX('В08 Каталог'!$C$5:$C$19,MATCH(J20,'В08 Каталог'!$B$5:$B$19,0))="Лабораторна",ISERROR(SEARCH(LEFT(D20,1),INDEX('В08 Каталог'!$D$5:$D$19,MATCH(J20,'В08 Каталог'!$B$5:$B$19,0))))),"Захід не діє на цей тип загрози",IF(AND(INDEX('В08 Каталог'!$C$5:$C$19,MATCH(J20,'В08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IF(J20="","",IFERROR(INDEX('В08 Каталог'!$E$5:$E$19,MATCH(J20,'В08 Каталог'!$B$5:$B$19,0)),""))</f>
        <v/>
      </c>
      <c r="N20" s="22">
        <f>IF(J20="","",IFERROR(INDEX('В08 Каталог'!$C$5:$C$19,MATCH(J20,'В08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природу",IF(AND(INDEX('В08 Каталог'!$C$5:$C$19,MATCH(J21,'В08 Каталог'!$B$5:$B$19,0))="Лабораторна",F21="фізична",INDEX('В08 Каталог'!$A$5:$A$19,MATCH(J21,'В08 Каталог'!$B$5:$B$19,0))&lt;&gt;"L10"),"Мережевий захід не закриває фізичну загрозу",IF(AND(INDEX('В08 Каталог'!$C$5:$C$19,MATCH(J21,'В08 Каталог'!$B$5:$B$19,0))="Лабораторна",ISERROR(SEARCH(LEFT(D21,1),INDEX('В08 Каталог'!$D$5:$D$19,MATCH(J21,'В08 Каталог'!$B$5:$B$19,0))))),"Захід не діє на цей тип загрози",IF(AND(INDEX('В08 Каталог'!$C$5:$C$19,MATCH(J21,'В08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IF(J21="","",IFERROR(INDEX('В08 Каталог'!$E$5:$E$19,MATCH(J21,'В08 Каталог'!$B$5:$B$19,0)),""))</f>
        <v/>
      </c>
      <c r="N21" s="22">
        <f>IF(J21="","",IFERROR(INDEX('В08 Каталог'!$C$5:$C$19,MATCH(J21,'В08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природу",IF(AND(INDEX('В08 Каталог'!$C$5:$C$19,MATCH(J22,'В08 Каталог'!$B$5:$B$19,0))="Лабораторна",F22="фізична",INDEX('В08 Каталог'!$A$5:$A$19,MATCH(J22,'В08 Каталог'!$B$5:$B$19,0))&lt;&gt;"L10"),"Мережевий захід не закриває фізичну загрозу",IF(AND(INDEX('В08 Каталог'!$C$5:$C$19,MATCH(J22,'В08 Каталог'!$B$5:$B$19,0))="Лабораторна",ISERROR(SEARCH(LEFT(D22,1),INDEX('В08 Каталог'!$D$5:$D$19,MATCH(J22,'В08 Каталог'!$B$5:$B$19,0))))),"Захід не діє на цей тип загрози",IF(AND(INDEX('В08 Каталог'!$C$5:$C$19,MATCH(J22,'В08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IF(J22="","",IFERROR(INDEX('В08 Каталог'!$E$5:$E$19,MATCH(J22,'В08 Каталог'!$B$5:$B$19,0)),""))</f>
        <v/>
      </c>
      <c r="N22" s="22">
        <f>IF(J22="","",IFERROR(INDEX('В08 Каталог'!$C$5:$C$19,MATCH(J22,'В08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природу",IF(AND(INDEX('В08 Каталог'!$C$5:$C$19,MATCH(J23,'В08 Каталог'!$B$5:$B$19,0))="Лабораторна",F23="фізична",INDEX('В08 Каталог'!$A$5:$A$19,MATCH(J23,'В08 Каталог'!$B$5:$B$19,0))&lt;&gt;"L10"),"Мережевий захід не закриває фізичну загрозу",IF(AND(INDEX('В08 Каталог'!$C$5:$C$19,MATCH(J23,'В08 Каталог'!$B$5:$B$19,0))="Лабораторна",ISERROR(SEARCH(LEFT(D23,1),INDEX('В08 Каталог'!$D$5:$D$19,MATCH(J23,'В08 Каталог'!$B$5:$B$19,0))))),"Захід не діє на цей тип загрози",IF(AND(INDEX('В08 Каталог'!$C$5:$C$19,MATCH(J23,'В08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IF(J23="","",IFERROR(INDEX('В08 Каталог'!$E$5:$E$19,MATCH(J23,'В08 Каталог'!$B$5:$B$19,0)),""))</f>
        <v/>
      </c>
      <c r="N23" s="22">
        <f>IF(J23="","",IFERROR(INDEX('В08 Каталог'!$C$5:$C$19,MATCH(J23,'В08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природу",IF(AND(INDEX('В08 Каталог'!$C$5:$C$19,MATCH(J24,'В08 Каталог'!$B$5:$B$19,0))="Лабораторна",F24="фізична",INDEX('В08 Каталог'!$A$5:$A$19,MATCH(J24,'В08 Каталог'!$B$5:$B$19,0))&lt;&gt;"L10"),"Мережевий захід не закриває фізичну загрозу",IF(AND(INDEX('В08 Каталог'!$C$5:$C$19,MATCH(J24,'В08 Каталог'!$B$5:$B$19,0))="Лабораторна",ISERROR(SEARCH(LEFT(D24,1),INDEX('В08 Каталог'!$D$5:$D$19,MATCH(J24,'В08 Каталог'!$B$5:$B$19,0))))),"Захід не діє на цей тип загрози",IF(AND(INDEX('В08 Каталог'!$C$5:$C$19,MATCH(J24,'В08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IF(J24="","",IFERROR(INDEX('В08 Каталог'!$E$5:$E$19,MATCH(J24,'В08 Каталог'!$B$5:$B$19,0)),""))</f>
        <v/>
      </c>
      <c r="N24" s="22">
        <f>IF(J24="","",IFERROR(INDEX('В08 Каталог'!$C$5:$C$19,MATCH(J24,'В08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природу",IF(AND(INDEX('В08 Каталог'!$C$5:$C$19,MATCH(J25,'В08 Каталог'!$B$5:$B$19,0))="Лабораторна",F25="фізична",INDEX('В08 Каталог'!$A$5:$A$19,MATCH(J25,'В08 Каталог'!$B$5:$B$19,0))&lt;&gt;"L10"),"Мережевий захід не закриває фізичну загрозу",IF(AND(INDEX('В08 Каталог'!$C$5:$C$19,MATCH(J25,'В08 Каталог'!$B$5:$B$19,0))="Лабораторна",ISERROR(SEARCH(LEFT(D25,1),INDEX('В08 Каталог'!$D$5:$D$19,MATCH(J25,'В08 Каталог'!$B$5:$B$19,0))))),"Захід не діє на цей тип загрози",IF(AND(INDEX('В08 Каталог'!$C$5:$C$19,MATCH(J25,'В08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IF(J25="","",IFERROR(INDEX('В08 Каталог'!$E$5:$E$19,MATCH(J25,'В08 Каталог'!$B$5:$B$19,0)),""))</f>
        <v/>
      </c>
      <c r="N25" s="22">
        <f>IF(J25="","",IFERROR(INDEX('В08 Каталог'!$C$5:$C$19,MATCH(J25,'В08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природу",IF(AND(INDEX('В08 Каталог'!$C$5:$C$19,MATCH(J26,'В08 Каталог'!$B$5:$B$19,0))="Лабораторна",F26="фізична",INDEX('В08 Каталог'!$A$5:$A$19,MATCH(J26,'В08 Каталог'!$B$5:$B$19,0))&lt;&gt;"L10"),"Мережевий захід не закриває фізичну загрозу",IF(AND(INDEX('В08 Каталог'!$C$5:$C$19,MATCH(J26,'В08 Каталог'!$B$5:$B$19,0))="Лабораторна",ISERROR(SEARCH(LEFT(D26,1),INDEX('В08 Каталог'!$D$5:$D$19,MATCH(J26,'В08 Каталог'!$B$5:$B$19,0))))),"Захід не діє на цей тип загрози",IF(AND(INDEX('В08 Каталог'!$C$5:$C$19,MATCH(J26,'В08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IF(J26="","",IFERROR(INDEX('В08 Каталог'!$E$5:$E$19,MATCH(J26,'В08 Каталог'!$B$5:$B$19,0)),""))</f>
        <v/>
      </c>
      <c r="N26" s="22">
        <f>IF(J26="","",IFERROR(INDEX('В08 Каталог'!$C$5:$C$19,MATCH(J26,'В08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природу",IF(AND(INDEX('В08 Каталог'!$C$5:$C$19,MATCH(J27,'В08 Каталог'!$B$5:$B$19,0))="Лабораторна",F27="фізична",INDEX('В08 Каталог'!$A$5:$A$19,MATCH(J27,'В08 Каталог'!$B$5:$B$19,0))&lt;&gt;"L10"),"Мережевий захід не закриває фізичну загрозу",IF(AND(INDEX('В08 Каталог'!$C$5:$C$19,MATCH(J27,'В08 Каталог'!$B$5:$B$19,0))="Лабораторна",ISERROR(SEARCH(LEFT(D27,1),INDEX('В08 Каталог'!$D$5:$D$19,MATCH(J27,'В08 Каталог'!$B$5:$B$19,0))))),"Захід не діє на цей тип загрози",IF(AND(INDEX('В08 Каталог'!$C$5:$C$19,MATCH(J27,'В08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IF(J27="","",IFERROR(INDEX('В08 Каталог'!$E$5:$E$19,MATCH(J27,'В08 Каталог'!$B$5:$B$19,0)),""))</f>
        <v/>
      </c>
      <c r="N27" s="22">
        <f>IF(J27="","",IFERROR(INDEX('В08 Каталог'!$C$5:$C$19,MATCH(J27,'В08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природу",IF(AND(INDEX('В08 Каталог'!$C$5:$C$19,MATCH(J28,'В08 Каталог'!$B$5:$B$19,0))="Лабораторна",F28="фізична",INDEX('В08 Каталог'!$A$5:$A$19,MATCH(J28,'В08 Каталог'!$B$5:$B$19,0))&lt;&gt;"L10"),"Мережевий захід не закриває фізичну загрозу",IF(AND(INDEX('В08 Каталог'!$C$5:$C$19,MATCH(J28,'В08 Каталог'!$B$5:$B$19,0))="Лабораторна",ISERROR(SEARCH(LEFT(D28,1),INDEX('В08 Каталог'!$D$5:$D$19,MATCH(J28,'В08 Каталог'!$B$5:$B$19,0))))),"Захід не діє на цей тип загрози",IF(AND(INDEX('В08 Каталог'!$C$5:$C$19,MATCH(J28,'В08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IF(J28="","",IFERROR(INDEX('В08 Каталог'!$E$5:$E$19,MATCH(J28,'В08 Каталог'!$B$5:$B$19,0)),""))</f>
        <v/>
      </c>
      <c r="N28" s="22">
        <f>IF(J28="","",IFERROR(INDEX('В08 Каталог'!$C$5:$C$19,MATCH(J28,'В08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природу",IF(AND(INDEX('В08 Каталог'!$C$5:$C$19,MATCH(J29,'В08 Каталог'!$B$5:$B$19,0))="Лабораторна",F29="фізична",INDEX('В08 Каталог'!$A$5:$A$19,MATCH(J29,'В08 Каталог'!$B$5:$B$19,0))&lt;&gt;"L10"),"Мережевий захід не закриває фізичну загрозу",IF(AND(INDEX('В08 Каталог'!$C$5:$C$19,MATCH(J29,'В08 Каталог'!$B$5:$B$19,0))="Лабораторна",ISERROR(SEARCH(LEFT(D29,1),INDEX('В08 Каталог'!$D$5:$D$19,MATCH(J29,'В08 Каталог'!$B$5:$B$19,0))))),"Захід не діє на цей тип загрози",IF(AND(INDEX('В08 Каталог'!$C$5:$C$19,MATCH(J29,'В08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IF(J29="","",IFERROR(INDEX('В08 Каталог'!$E$5:$E$19,MATCH(J29,'В08 Каталог'!$B$5:$B$19,0)),""))</f>
        <v/>
      </c>
      <c r="N29" s="22">
        <f>IF(J29="","",IFERROR(INDEX('В08 Каталог'!$C$5:$C$19,MATCH(J29,'В08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природу",IF(AND(INDEX('В08 Каталог'!$C$5:$C$19,MATCH(J30,'В08 Каталог'!$B$5:$B$19,0))="Лабораторна",F30="фізична",INDEX('В08 Каталог'!$A$5:$A$19,MATCH(J30,'В08 Каталог'!$B$5:$B$19,0))&lt;&gt;"L10"),"Мережевий захід не закриває фізичну загрозу",IF(AND(INDEX('В08 Каталог'!$C$5:$C$19,MATCH(J30,'В08 Каталог'!$B$5:$B$19,0))="Лабораторна",ISERROR(SEARCH(LEFT(D30,1),INDEX('В08 Каталог'!$D$5:$D$19,MATCH(J30,'В08 Каталог'!$B$5:$B$19,0))))),"Захід не діє на цей тип загрози",IF(AND(INDEX('В08 Каталог'!$C$5:$C$19,MATCH(J30,'В08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IF(J30="","",IFERROR(INDEX('В08 Каталог'!$E$5:$E$19,MATCH(J30,'В08 Каталог'!$B$5:$B$19,0)),""))</f>
        <v/>
      </c>
      <c r="N30" s="22">
        <f>IF(J30="","",IFERROR(INDEX('В08 Каталог'!$C$5:$C$19,MATCH(J30,'В08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природу",IF(AND(INDEX('В08 Каталог'!$C$5:$C$19,MATCH(J31,'В08 Каталог'!$B$5:$B$19,0))="Лабораторна",F31="фізична",INDEX('В08 Каталог'!$A$5:$A$19,MATCH(J31,'В08 Каталог'!$B$5:$B$19,0))&lt;&gt;"L10"),"Мережевий захід не закриває фізичну загрозу",IF(AND(INDEX('В08 Каталог'!$C$5:$C$19,MATCH(J31,'В08 Каталог'!$B$5:$B$19,0))="Лабораторна",ISERROR(SEARCH(LEFT(D31,1),INDEX('В08 Каталог'!$D$5:$D$19,MATCH(J31,'В08 Каталог'!$B$5:$B$19,0))))),"Захід не діє на цей тип загрози",IF(AND(INDEX('В08 Каталог'!$C$5:$C$19,MATCH(J31,'В08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IF(J31="","",IFERROR(INDEX('В08 Каталог'!$E$5:$E$19,MATCH(J31,'В08 Каталог'!$B$5:$B$19,0)),""))</f>
        <v/>
      </c>
      <c r="N31" s="22">
        <f>IF(J31="","",IFERROR(INDEX('В08 Каталог'!$C$5:$C$19,MATCH(J31,'В08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природу",IF(AND(INDEX('В08 Каталог'!$C$5:$C$19,MATCH(J32,'В08 Каталог'!$B$5:$B$19,0))="Лабораторна",F32="фізична",INDEX('В08 Каталог'!$A$5:$A$19,MATCH(J32,'В08 Каталог'!$B$5:$B$19,0))&lt;&gt;"L10"),"Мережевий захід не закриває фізичну загрозу",IF(AND(INDEX('В08 Каталог'!$C$5:$C$19,MATCH(J32,'В08 Каталог'!$B$5:$B$19,0))="Лабораторна",ISERROR(SEARCH(LEFT(D32,1),INDEX('В08 Каталог'!$D$5:$D$19,MATCH(J32,'В08 Каталог'!$B$5:$B$19,0))))),"Захід не діє на цей тип загрози",IF(AND(INDEX('В08 Каталог'!$C$5:$C$19,MATCH(J32,'В08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IF(J32="","",IFERROR(INDEX('В08 Каталог'!$E$5:$E$19,MATCH(J32,'В08 Каталог'!$B$5:$B$19,0)),""))</f>
        <v/>
      </c>
      <c r="N32" s="22">
        <f>IF(J32="","",IFERROR(INDEX('В08 Каталог'!$C$5:$C$19,MATCH(J32,'В08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природу",IF(AND(INDEX('В08 Каталог'!$C$5:$C$19,MATCH(J33,'В08 Каталог'!$B$5:$B$19,0))="Лабораторна",F33="фізична",INDEX('В08 Каталог'!$A$5:$A$19,MATCH(J33,'В08 Каталог'!$B$5:$B$19,0))&lt;&gt;"L10"),"Мережевий захід не закриває фізичну загрозу",IF(AND(INDEX('В08 Каталог'!$C$5:$C$19,MATCH(J33,'В08 Каталог'!$B$5:$B$19,0))="Лабораторна",ISERROR(SEARCH(LEFT(D33,1),INDEX('В08 Каталог'!$D$5:$D$19,MATCH(J33,'В08 Каталог'!$B$5:$B$19,0))))),"Захід не діє на цей тип загрози",IF(AND(INDEX('В08 Каталог'!$C$5:$C$19,MATCH(J33,'В08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IF(J33="","",IFERROR(INDEX('В08 Каталог'!$E$5:$E$19,MATCH(J33,'В08 Каталог'!$B$5:$B$19,0)),""))</f>
        <v/>
      </c>
      <c r="N33" s="22">
        <f>IF(J33="","",IFERROR(INDEX('В08 Каталог'!$C$5:$C$19,MATCH(J33,'В08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природу",IF(AND(INDEX('В08 Каталог'!$C$5:$C$19,MATCH(J34,'В08 Каталог'!$B$5:$B$19,0))="Лабораторна",F34="фізична",INDEX('В08 Каталог'!$A$5:$A$19,MATCH(J34,'В08 Каталог'!$B$5:$B$19,0))&lt;&gt;"L10"),"Мережевий захід не закриває фізичну загрозу",IF(AND(INDEX('В08 Каталог'!$C$5:$C$19,MATCH(J34,'В08 Каталог'!$B$5:$B$19,0))="Лабораторна",ISERROR(SEARCH(LEFT(D34,1),INDEX('В08 Каталог'!$D$5:$D$19,MATCH(J34,'В08 Каталог'!$B$5:$B$19,0))))),"Захід не діє на цей тип загрози",IF(AND(INDEX('В08 Каталог'!$C$5:$C$19,MATCH(J34,'В08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IF(J34="","",IFERROR(INDEX('В08 Каталог'!$E$5:$E$19,MATCH(J34,'В08 Каталог'!$B$5:$B$19,0)),""))</f>
        <v/>
      </c>
      <c r="N34" s="22">
        <f>IF(J34="","",IFERROR(INDEX('В08 Каталог'!$C$5:$C$19,MATCH(J34,'В08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='В08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='В08 Каталог'!$B$5:$B$19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7D7B"/>
    <outlinePr summaryBelow="1" summaryRight="1"/>
    <pageSetUpPr/>
  </sheetPr>
  <dimension ref="A1:C2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4">
      <c r="A4" s="23" t="inlineStr">
        <is>
          <t>Загроз у таблиці</t>
        </is>
      </c>
      <c r="B4" s="24">
        <f>COUNTA('В08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COUNTIF('В08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COUNTIF('В08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COUNTIF('В08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COUNTIF('В08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COUNTIF('В08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COUNTIF('В08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COUNTIF('В08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COUNTIF('В08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COUNTIF('В08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COUNTIF('В08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COUNTIF('В08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COUNTIF('В08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COUNTIF('В08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SUMPRODUCT(('В08 Загрози і заходи'!I5:I34="Так")*('В08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COUNTIFS('В08 Загрози і заходи'!I5:I34,"Так",'В08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COUNTIF('В08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7D7B"/>
    <outlinePr summaryBelow="1" summaryRight="1"/>
    <pageSetUpPr/>
  </sheetPr>
  <dimension ref="A1:D13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inlineStr">
        <is>
          <t>Кравченко</t>
        </is>
      </c>
      <c r="B5" s="11" t="n">
        <v>3</v>
      </c>
      <c r="C5" s="11" t="inlineStr">
        <is>
          <t>Серйозність 3: підмінений «POS» може надсилати фальшиві операції масово. Межа M2, бо саме радіоефір у залі — найдоступніше місце для сторонніх, а пароль Wi-Fi спільний.</t>
        </is>
      </c>
      <c r="D5" s="11" t="inlineStr">
        <is>
          <t>L8 (окремий VLAN і WPA2-Enterprise) працює на точках доступу: без сертифіката пристрій не потрапить у VLAN POS. Port Security (L2) не допоможе — він для дротових портів.</t>
        </is>
      </c>
    </row>
    <row r="6" ht="70" customHeight="1">
      <c r="A6" s="11" t="inlineStr">
        <is>
          <t>Кравченко</t>
        </is>
      </c>
      <c r="B6" s="11" t="n">
        <v>15</v>
      </c>
      <c r="C6" s="11" t="inlineStr">
        <is>
          <t>Серйозність 3: підрядник адмініструє все мережеве обладнання, а спільний пароль після договору — це повний контроль над мережею відділення. Межа M6 — особливий учасник В08.</t>
        </is>
      </c>
      <c r="D6" s="11" t="inlineStr">
        <is>
          <t>L9: персональні облікові записи через RADIUS і лише SSH. Пароль не потрібно «забирати» в людини — досить вимкнути його обліковий запис. Договір (O2) цього не забезпечує технічно.</t>
        </is>
      </c>
    </row>
    <row r="7" ht="70" customHeight="1">
      <c r="A7" s="11" t="inlineStr">
        <is>
          <t>Кравченко</t>
        </is>
      </c>
      <c r="B7" s="11" t="n">
        <v>1</v>
      </c>
      <c r="C7" s="11" t="inlineStr">
        <is>
          <t>Серйозність 3: скімер на касі копіює картки всіх клієнтів дня. Межа M1 — між карткою і POS.</t>
        </is>
      </c>
      <c r="D7" s="11" t="inlineStr">
        <is>
          <t>Загроза фізична, тому мережа тут безсила — обрано «Поза курсом» (пломби й огляд). Мережевий захід перевірка правильно відхиляє.</t>
        </is>
      </c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inlineStr">
        <is>
          <t>КРОК 4 НЕ ВИКОНАНО: файл «ПР_2_Нова_обставина_Варіант_08» видає викладач у Teams після кроків 1–3; межу M7, нові загрози й слайд 2 буде додано після його отримання.</t>
        </is>
      </c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2026-10-20T08:52:16Z</dcterms:created>
  <dcterms:modified xmlns:dcterms="http://purl.org/dc/terms/" xmlns:xsi="http://www.w3.org/2001/XMLSchema-instance" xsi:type="dcterms:W3CDTF">2026-10-24T10:53:41Z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0x010100515EA09E6D44F04384841D5FBD71E5CF</vt:lpwstr>
  </property>
</Properties>
</file>