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В08 Інструкція" sheetId="1" state="visible" r:id="rId1"/>
    <sheet xmlns:r="http://schemas.openxmlformats.org/officeDocument/2006/relationships" name="В08 Картка" sheetId="2" state="visible" r:id="rId2"/>
    <sheet xmlns:r="http://schemas.openxmlformats.org/officeDocument/2006/relationships" name="В08 Пристрої" sheetId="3" state="visible" r:id="rId3"/>
    <sheet xmlns:r="http://schemas.openxmlformats.org/officeDocument/2006/relationships" name="В08 Чернетка колеги" sheetId="4" state="visible" r:id="rId4"/>
    <sheet xmlns:r="http://schemas.openxmlformats.org/officeDocument/2006/relationships" name="В08 Зони й адреси" sheetId="5" state="visible" r:id="rId5"/>
    <sheet xmlns:r="http://schemas.openxmlformats.org/officeDocument/2006/relationships" name="В08 Підсумок" sheetId="6" state="visible" r:id="rId6"/>
    <sheet xmlns:r="http://schemas.openxmlformats.org/officeDocument/2006/relationships" name="В08 Обґрунтування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1F3864"/>
      <sz val="15"/>
    </font>
    <font>
      <name val="Calibri"/>
      <i val="1"/>
      <color rgb="FF595959"/>
      <sz val="10"/>
    </font>
    <font>
      <name val="Calibri"/>
      <b val="1"/>
      <color rgb="FF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FF1F3864"/>
      <sz val="12"/>
    </font>
    <font>
      <name val="Calibri"/>
      <b val="1"/>
      <color rgb="FF1F3864"/>
      <sz val="10"/>
    </font>
    <font>
      <name val="Calibri"/>
      <b val="1"/>
      <color rgb="FFFFFFFF"/>
      <sz val="10.5"/>
    </font>
    <font>
      <name val="Calibri"/>
      <b val="1"/>
      <color rgb="FFFFFFFF"/>
      <sz val="10"/>
    </font>
    <font>
      <name val="Calibri"/>
      <i val="1"/>
      <sz val="9"/>
    </font>
    <font>
      <name val="Calibri"/>
      <b val="1"/>
      <color rgb="FFFFFFFF"/>
      <sz val="11"/>
    </font>
    <font>
      <name val="Calibri"/>
      <color rgb="FF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4" fillId="4" borderId="1" applyAlignment="1" pivotButton="0" quotePrefix="0" xfId="0">
      <alignment vertical="top" wrapText="1"/>
    </xf>
    <xf numFmtId="0" fontId="10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8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5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</cellXfs>
  <cellStyles count="1">
    <cellStyle name="Звичайний" xfId="0" builtinId="0"/>
  </cellStyles>
  <dxfs count="80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A7D7B"/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26" customWidth="1" style="21" min="1" max="1"/>
    <col width="104" customWidth="1" style="21" min="2" max="2"/>
  </cols>
  <sheetData>
    <row r="1" ht="19.5" customHeight="1" s="21">
      <c r="A1" s="3" t="inlineStr">
        <is>
          <t>ПР 3. Проєкт мережі відділення: зони, VLAN, адреси. Варіант 08</t>
        </is>
      </c>
    </row>
    <row r="2">
      <c r="A2" s="4" t="inlineStr">
        <is>
          <t>Працюйте в жовтих комірках. Сірі комірки рахуються самі (захищені). Схему зон малюйте в PowerPoint-файлі варіанта.</t>
        </is>
      </c>
    </row>
    <row r="4">
      <c r="A4" s="5" t="inlineStr">
        <is>
          <t>Порядок роботи</t>
        </is>
      </c>
      <c r="B4" s="6" t="n"/>
    </row>
    <row r="5" ht="25.5" customHeight="1" s="21">
      <c r="A5" s="7" t="inlineStr">
        <is>
          <t>1. Зони (питання 1)</t>
        </is>
      </c>
      <c r="B5" s="6" t="inlineStr">
        <is>
          <t>На аркуші «Пристрої» для кожної групи пристроїв оберіть зону. Колонка «Перевірка» підкаже, якщо тип пристрою не відповідає зоні. Для пристроїв «потребує рішення» вирішуйте самі й поясніть вибір на аркуші «Обґрунтування».</t>
        </is>
      </c>
    </row>
    <row r="6" ht="25.5" customHeight="1" s="21">
      <c r="A6" s="7" t="inlineStr">
        <is>
          <t>2. Підмережі (питання 2)</t>
        </is>
      </c>
      <c r="B6" s="6" t="inlineStr">
        <is>
          <t>На аркуші «Зони й адреси» для кожної зони порахуйте, скільки адрес потрібно з запасом на зростання, оберіть префікс (від /24 до /30) і VLAN. Рахуйте на папері або в калькуляторі: файл лише перевіряє результат.</t>
        </is>
      </c>
    </row>
    <row r="7" ht="25.5" customHeight="1" s="21">
      <c r="A7" s="7" t="inlineStr">
        <is>
          <t>3. Адресна таблиця (питання 3)</t>
        </is>
      </c>
      <c r="B7" s="6" t="inlineStr">
        <is>
          <t>Запишіть адресу мережі й шлюз кожної зони, native VLAN. Колонка «Перевірка» має показувати «ОК» для всіх зон.</t>
        </is>
      </c>
    </row>
    <row r="8">
      <c r="A8" s="7" t="inlineStr">
        <is>
          <t>4. Чернетка колеги</t>
        </is>
      </c>
      <c r="B8" s="6" t="inlineStr">
        <is>
          <t>На аркуші «Чернетка колеги» знайдіть три помилки й запишіть у журнал. До свого проєкту їх не переносьте.</t>
        </is>
      </c>
    </row>
    <row r="9" ht="25.5" customHeight="1" s="21">
      <c r="A9" s="7" t="inlineStr">
        <is>
          <t>5. Нова обставина</t>
        </is>
      </c>
      <c r="B9" s="6" t="inlineStr">
        <is>
          <t>Коли завершите кроки 1–3, відкрийте окремий файл «Нова обставина» (не раніше). Оновіть таблицю й схему на другому слайді PowerPoint.</t>
        </is>
      </c>
    </row>
    <row r="10">
      <c r="A10" s="7" t="inlineStr">
        <is>
          <t>6. Обґрунтування і здача</t>
        </is>
      </c>
      <c r="B10" s="6" t="inlineStr">
        <is>
          <t>Заповніть аркуш «Обґрунтування», перевірте аркуш «Підсумок» і здайте два файли (Excel і PowerPoint).</t>
        </is>
      </c>
    </row>
    <row r="11">
      <c r="A11" s="7" t="n"/>
      <c r="B11" s="6" t="n"/>
    </row>
    <row r="12">
      <c r="A12" s="7" t="inlineStr">
        <is>
          <t>Формула запасу</t>
        </is>
      </c>
      <c r="B12" s="6" t="inlineStr">
        <is>
          <t>Потрібно адрес = пристроїв зараз × (1 + зростання за рік) + 1 адреса під шлюз, результат округлюється вгору.</t>
        </is>
      </c>
    </row>
    <row r="13">
      <c r="A13" s="7" t="inlineStr">
        <is>
          <t>Місткість підмережі</t>
        </is>
      </c>
      <c r="B13" s="6" t="inlineStr">
        <is>
          <t>У підмережі /n корисних адрес 2^(32−n) − 2 (адреса мережі й адреса розсилки не видаються пристроям).</t>
        </is>
      </c>
    </row>
    <row r="14" ht="25.5" customHeight="1" s="21">
      <c r="A14" s="7" t="inlineStr">
        <is>
          <t>Правило адрес</t>
        </is>
      </c>
      <c r="B14" s="6" t="inlineStr">
        <is>
          <t>Усе відділення використовує блок 10.A.0.0/16 (ваше A на аркуші «Картка»). Кожна зона має адресу вигляду 10.A.&lt;VLAN&gt;.x: третій октет дорівнює номеру VLAN.</t>
        </is>
      </c>
    </row>
    <row r="15" ht="25.5" customHeight="1" s="21">
      <c r="A15" s="7" t="inlineStr">
        <is>
          <t>Правило VLAN</t>
        </is>
      </c>
      <c r="B15" s="6" t="inlineStr">
        <is>
          <t>Номер від 2 до 254; не 1; між номерами сусідніх зон лишайте проміжок не менше 5, щоб додавати зони без перенумерації. Native VLAN теж окремий номер, не збігається з VLAN зон.</t>
        </is>
      </c>
    </row>
    <row r="16">
      <c r="A16" s="7" t="inlineStr">
        <is>
          <t>Шлюз</t>
        </is>
      </c>
      <c r="B16" s="6" t="inlineStr">
        <is>
          <t>Шлюз беріть за правилом варіанта (перша або остання корисна адреса підмережі).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A7D7B"/>
    <outlinePr summaryBelow="1" summaryRight="1"/>
    <pageSetUpPr/>
  </sheetPr>
  <dimension ref="A1:B13"/>
  <sheetViews>
    <sheetView tabSelected="0" workbookViewId="0">
      <selection activeCell="A1" sqref="A1"/>
    </sheetView>
  </sheetViews>
  <sheetFormatPr baseColWidth="8" defaultRowHeight="15"/>
  <cols>
    <col width="36" customWidth="1" style="21" min="1" max="1"/>
    <col width="70" customWidth="1" style="21" min="2" max="2"/>
  </cols>
  <sheetData>
    <row r="1" ht="19.5" customHeight="1" s="21">
      <c r="A1" s="3" t="inlineStr">
        <is>
          <t>Картка варіанта 08</t>
        </is>
      </c>
    </row>
    <row r="3">
      <c r="A3" s="8" t="inlineStr">
        <is>
          <t>Студент (прізвище)</t>
        </is>
      </c>
      <c r="B3" s="19" t="inlineStr">
        <is>
          <t>Кравченко</t>
        </is>
      </c>
    </row>
    <row r="4">
      <c r="A4" s="8" t="inlineStr">
        <is>
          <t>Блок адрес відділення</t>
        </is>
      </c>
      <c r="B4" s="10" t="inlineStr">
        <is>
          <t>10.209.0.0/16</t>
        </is>
      </c>
    </row>
    <row r="5">
      <c r="A5" s="8" t="inlineStr">
        <is>
          <t>Значення A (другий октет)</t>
        </is>
      </c>
      <c r="B5" s="10" t="n">
        <v>209</v>
      </c>
    </row>
    <row r="6">
      <c r="A6" s="8" t="inlineStr">
        <is>
          <t>Правило шлюзу</t>
        </is>
      </c>
      <c r="B6" s="10" t="inlineStr">
        <is>
          <t>остання корисна адреса підмережі (перед адресою розсилки)</t>
        </is>
      </c>
    </row>
    <row r="7" ht="25.5" customHeight="1" s="21">
      <c r="A7" s="8" t="inlineStr">
        <is>
          <t>Особливі пристрої (потребують вашого рішення)</t>
        </is>
      </c>
      <c r="B7" s="10" t="inlineStr">
        <is>
          <t>Мережевий сейф з електронним замком і сигналізацією (1 шт.); Ноутбуки підрядників, що налаштовують обладнання (2 шт.)</t>
        </is>
      </c>
    </row>
    <row r="8" ht="25.5" customHeight="1" s="21">
      <c r="A8" s="8" t="inlineStr">
        <is>
          <t>Зростання за рік, %</t>
        </is>
      </c>
      <c r="B8" s="10" t="inlineStr">
        <is>
          <t>Каси 15 · Менеджери 20 · Термінали АБС 30 · Банкомати й POS 20 · Інтернет речей 50 · Гостьова Wi-Fi 25 · Керування обладнанням 20</t>
        </is>
      </c>
    </row>
    <row r="10" ht="15.75" customHeight="1" s="21">
      <c r="A10" s="11" t="inlineStr">
        <is>
          <t>Легенда відділення</t>
        </is>
      </c>
    </row>
    <row r="11">
      <c r="A11" s="18" t="inlineStr">
        <is>
          <t>12 співробітників; два банкомати (один усередині, один на вулиці); POS-термінали; камери, електронні замки, датчики серверної; гостьова Wi-Fi; зв'язок з головним офісом через Інтернет. Усе описано в групах пристроїв на аркуші «Пристрої».</t>
        </is>
      </c>
    </row>
    <row r="12"/>
    <row r="13"/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">
    <mergeCell ref="A11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A7D7B"/>
    <outlinePr summaryBelow="1" summaryRight="1"/>
    <pageSetUpPr/>
  </sheetPr>
  <dimension ref="A1:I25"/>
  <sheetViews>
    <sheetView tabSelected="0" workbookViewId="0">
      <selection activeCell="A1" sqref="A1"/>
    </sheetView>
  </sheetViews>
  <sheetFormatPr baseColWidth="8" defaultRowHeight="15"/>
  <cols>
    <col width="5" customWidth="1" style="21" min="1" max="1"/>
    <col width="56" customWidth="1" style="21" min="2" max="2"/>
    <col width="11" customWidth="1" style="21" min="3" max="3"/>
    <col width="24" customWidth="1" style="21" min="4" max="4"/>
    <col width="16" customWidth="1" style="21" min="5" max="5"/>
    <col width="40" customWidth="1" style="21" min="6" max="6"/>
    <col width="3" customWidth="1" style="21" min="7" max="7"/>
    <col width="24" customWidth="1" style="21" min="8" max="8"/>
    <col width="14" customWidth="1" style="21" min="9" max="9"/>
  </cols>
  <sheetData>
    <row r="1" ht="19.5" customHeight="1" s="21">
      <c r="A1" s="3" t="inlineStr">
        <is>
          <t>Пристрої відділення</t>
        </is>
      </c>
    </row>
    <row r="2">
      <c r="A2" s="4" t="inlineStr">
        <is>
          <t>Для кожної групи оберіть зону. Нижні п'ять рядків (21–25) призначені для нової обставини.</t>
        </is>
      </c>
    </row>
    <row r="3">
      <c r="H3" s="12" t="inlineStr">
        <is>
          <t>Типи пристроїв і зони</t>
        </is>
      </c>
    </row>
    <row r="4" ht="39.95" customHeight="1" s="21">
      <c r="A4" s="20" t="inlineStr">
        <is>
          <t>№</t>
        </is>
      </c>
      <c r="B4" s="20" t="inlineStr">
        <is>
          <t>Пристрій</t>
        </is>
      </c>
      <c r="C4" s="20" t="inlineStr">
        <is>
          <t>Кількість</t>
        </is>
      </c>
      <c r="D4" s="20" t="inlineStr">
        <is>
          <t>Тип</t>
        </is>
      </c>
      <c r="E4" s="20" t="inlineStr">
        <is>
          <t>Зона (оберіть)</t>
        </is>
      </c>
      <c r="F4" s="20" t="inlineStr">
        <is>
          <t>Перевірка</t>
        </is>
      </c>
      <c r="H4" s="14" t="inlineStr">
        <is>
          <t>Тип</t>
        </is>
      </c>
      <c r="I4" s="14" t="inlineStr">
        <is>
          <t>Зона</t>
        </is>
      </c>
    </row>
    <row r="5">
      <c r="A5" s="15" t="n">
        <v>1</v>
      </c>
      <c r="B5" s="15" t="inlineStr">
        <is>
          <t>Робочі місця кас</t>
        </is>
      </c>
      <c r="C5" s="15" t="n">
        <v>4</v>
      </c>
      <c r="D5" s="15" t="inlineStr">
        <is>
          <t>каса</t>
        </is>
      </c>
      <c r="E5" s="19" t="inlineStr">
        <is>
          <t>KASA</t>
        </is>
      </c>
      <c r="F5" s="15">
        <f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/>
      </c>
      <c r="H5" s="15" t="inlineStr">
        <is>
          <t>каса</t>
        </is>
      </c>
      <c r="I5" s="15" t="inlineStr">
        <is>
          <t>KASA</t>
        </is>
      </c>
    </row>
    <row r="6">
      <c r="A6" s="15" t="n">
        <v>2</v>
      </c>
      <c r="B6" s="15" t="inlineStr">
        <is>
          <t>Принтери й сканери кас</t>
        </is>
      </c>
      <c r="C6" s="15" t="n">
        <v>2</v>
      </c>
      <c r="D6" s="15" t="inlineStr">
        <is>
          <t>каса</t>
        </is>
      </c>
      <c r="E6" s="19" t="inlineStr">
        <is>
          <t>KASA</t>
        </is>
      </c>
      <c r="F6" s="15">
        <f>IF(C6="","",IF(D6="","вкажіть тип",IF(E6="","призначте зону",IF(D6="потребує рішення","рішення поясніть на аркуші «Обґрунтування»",IF(IFERROR(VLOOKUP(D6,$H$5:$I$11,2,FALSE),"?")=E6,"ОК","тип пристрою не відповідає зоні")))))</f>
        <v/>
      </c>
      <c r="H6" s="15" t="inlineStr">
        <is>
          <t>менеджер</t>
        </is>
      </c>
      <c r="I6" s="15" t="inlineStr">
        <is>
          <t>MANAGERS</t>
        </is>
      </c>
    </row>
    <row r="7">
      <c r="A7" s="15" t="n">
        <v>3</v>
      </c>
      <c r="B7" s="15" t="inlineStr">
        <is>
          <t>Робочі місця менеджерів і керівника</t>
        </is>
      </c>
      <c r="C7" s="15" t="n">
        <v>6</v>
      </c>
      <c r="D7" s="15" t="inlineStr">
        <is>
          <t>менеджер</t>
        </is>
      </c>
      <c r="E7" s="19" t="inlineStr">
        <is>
          <t>MANAGERS</t>
        </is>
      </c>
      <c r="F7" s="15">
        <f>IF(C7="","",IF(D7="","вкажіть тип",IF(E7="","призначте зону",IF(D7="потребує рішення","рішення поясніть на аркуші «Обґрунтування»",IF(IFERROR(VLOOKUP(D7,$H$5:$I$11,2,FALSE),"?")=E7,"ОК","тип пристрою не відповідає зоні")))))</f>
        <v/>
      </c>
      <c r="H7" s="15" t="inlineStr">
        <is>
          <t>АБС</t>
        </is>
      </c>
      <c r="I7" s="15" t="inlineStr">
        <is>
          <t>ABS</t>
        </is>
      </c>
    </row>
    <row r="8">
      <c r="A8" s="15" t="n">
        <v>4</v>
      </c>
      <c r="B8" s="15" t="inlineStr">
        <is>
          <t>Термінали АБС (операціоніст)</t>
        </is>
      </c>
      <c r="C8" s="15" t="n">
        <v>3</v>
      </c>
      <c r="D8" s="15" t="inlineStr">
        <is>
          <t>АБС</t>
        </is>
      </c>
      <c r="E8" s="19" t="inlineStr">
        <is>
          <t>ABS</t>
        </is>
      </c>
      <c r="F8" s="15">
        <f>IF(C8="","",IF(D8="","вкажіть тип",IF(E8="","призначте зону",IF(D8="потребує рішення","рішення поясніть на аркуші «Обґрунтування»",IF(IFERROR(VLOOKUP(D8,$H$5:$I$11,2,FALSE),"?")=E8,"ОК","тип пристрою не відповідає зоні")))))</f>
        <v/>
      </c>
      <c r="H8" s="15" t="inlineStr">
        <is>
          <t>платіжний пристрій</t>
        </is>
      </c>
      <c r="I8" s="15" t="inlineStr">
        <is>
          <t>ATM_POS</t>
        </is>
      </c>
    </row>
    <row r="9">
      <c r="A9" s="15" t="n">
        <v>5</v>
      </c>
      <c r="B9" s="15" t="inlineStr">
        <is>
          <t>Банкомати (всередині й на вулиці)</t>
        </is>
      </c>
      <c r="C9" s="15" t="n">
        <v>2</v>
      </c>
      <c r="D9" s="15" t="inlineStr">
        <is>
          <t>платіжний пристрій</t>
        </is>
      </c>
      <c r="E9" s="19" t="inlineStr">
        <is>
          <t>ATM_POS</t>
        </is>
      </c>
      <c r="F9" s="15">
        <f>IF(C9="","",IF(D9="","вкажіть тип",IF(E9="","призначте зону",IF(D9="потребує рішення","рішення поясніть на аркуші «Обґрунтування»",IF(IFERROR(VLOOKUP(D9,$H$5:$I$11,2,FALSE),"?")=E9,"ОК","тип пристрою не відповідає зоні")))))</f>
        <v/>
      </c>
      <c r="H9" s="15" t="inlineStr">
        <is>
          <t>без користувача</t>
        </is>
      </c>
      <c r="I9" s="15" t="inlineStr">
        <is>
          <t>IOT</t>
        </is>
      </c>
    </row>
    <row r="10">
      <c r="A10" s="15" t="n">
        <v>6</v>
      </c>
      <c r="B10" s="15" t="inlineStr">
        <is>
          <t>POS-термінали</t>
        </is>
      </c>
      <c r="C10" s="15" t="n">
        <v>8</v>
      </c>
      <c r="D10" s="15" t="inlineStr">
        <is>
          <t>платіжний пристрій</t>
        </is>
      </c>
      <c r="E10" s="19" t="inlineStr">
        <is>
          <t>ATM_POS</t>
        </is>
      </c>
      <c r="F10" s="15">
        <f>IF(C10="","",IF(D10="","вкажіть тип",IF(E10="","призначте зону",IF(D10="потребує рішення","рішення поясніть на аркуші «Обґрунтування»",IF(IFERROR(VLOOKUP(D10,$H$5:$I$11,2,FALSE),"?")=E10,"ОК","тип пристрою не відповідає зоні")))))</f>
        <v/>
      </c>
      <c r="H10" s="15" t="inlineStr">
        <is>
          <t>клієнтські пристрої</t>
        </is>
      </c>
      <c r="I10" s="15" t="inlineStr">
        <is>
          <t>GUEST</t>
        </is>
      </c>
    </row>
    <row r="11">
      <c r="A11" s="15" t="n">
        <v>7</v>
      </c>
      <c r="B11" s="15" t="inlineStr">
        <is>
          <t>Камери відеоспостереження</t>
        </is>
      </c>
      <c r="C11" s="15" t="n">
        <v>12</v>
      </c>
      <c r="D11" s="15" t="inlineStr">
        <is>
          <t>без користувача</t>
        </is>
      </c>
      <c r="E11" s="19" t="inlineStr">
        <is>
          <t>IOT</t>
        </is>
      </c>
      <c r="F11" s="15">
        <f>IF(C11="","",IF(D11="","вкажіть тип",IF(E11="","призначте зону",IF(D11="потребує рішення","рішення поясніть на аркуші «Обґрунтування»",IF(IFERROR(VLOOKUP(D11,$H$5:$I$11,2,FALSE),"?")=E11,"ОК","тип пристрою не відповідає зоні")))))</f>
        <v/>
      </c>
      <c r="H11" s="15" t="inlineStr">
        <is>
          <t>мережеве обладнання</t>
        </is>
      </c>
      <c r="I11" s="15" t="inlineStr">
        <is>
          <t>MGMT</t>
        </is>
      </c>
    </row>
    <row r="12">
      <c r="A12" s="15" t="n">
        <v>8</v>
      </c>
      <c r="B12" s="15" t="inlineStr">
        <is>
          <t>Контролери електронних замків</t>
        </is>
      </c>
      <c r="C12" s="15" t="n">
        <v>5</v>
      </c>
      <c r="D12" s="15" t="inlineStr">
        <is>
          <t>без користувача</t>
        </is>
      </c>
      <c r="E12" s="19" t="inlineStr">
        <is>
          <t>IOT</t>
        </is>
      </c>
      <c r="F12" s="15">
        <f>IF(C12="","",IF(D12="","вкажіть тип",IF(E12="","призначте зону",IF(D12="потребує рішення","рішення поясніть на аркуші «Обґрунтування»",IF(IFERROR(VLOOKUP(D12,$H$5:$I$11,2,FALSE),"?")=E12,"ОК","тип пристрою не відповідає зоні")))))</f>
        <v/>
      </c>
      <c r="H12" s="16" t="inlineStr">
        <is>
          <t>«потребує рішення»: зону обираєте самі</t>
        </is>
      </c>
    </row>
    <row r="13">
      <c r="A13" s="15" t="n">
        <v>9</v>
      </c>
      <c r="B13" s="15" t="inlineStr">
        <is>
          <t>Датчики температури й диму в серверній</t>
        </is>
      </c>
      <c r="C13" s="15" t="n">
        <v>5</v>
      </c>
      <c r="D13" s="15" t="inlineStr">
        <is>
          <t>без користувача</t>
        </is>
      </c>
      <c r="E13" s="19" t="inlineStr">
        <is>
          <t>IOT</t>
        </is>
      </c>
      <c r="F13" s="15">
        <f>IF(C13="","",IF(D13="","вкажіть тип",IF(E13="","призначте зону",IF(D13="потребує рішення","рішення поясніть на аркуші «Обґрунтування»",IF(IFERROR(VLOOKUP(D13,$H$5:$I$11,2,FALSE),"?")=E13,"ОК","тип пристрою не відповідає зоні")))))</f>
        <v/>
      </c>
    </row>
    <row r="14">
      <c r="A14" s="15" t="n">
        <v>10</v>
      </c>
      <c r="B14" s="15" t="inlineStr">
        <is>
          <t>Пристрої гостей Wi-Fi (одночасно)</t>
        </is>
      </c>
      <c r="C14" s="15" t="n">
        <v>80</v>
      </c>
      <c r="D14" s="15" t="inlineStr">
        <is>
          <t>клієнтські пристрої</t>
        </is>
      </c>
      <c r="E14" s="19" t="inlineStr">
        <is>
          <t>GUEST</t>
        </is>
      </c>
      <c r="F14" s="15">
        <f>IF(C14="","",IF(D14="","вкажіть тип",IF(E14="","призначте зону",IF(D14="потребує рішення","рішення поясніть на аркуші «Обґрунтування»",IF(IFERROR(VLOOKUP(D14,$H$5:$I$11,2,FALSE),"?")=E14,"ОК","тип пристрою не відповідає зоні")))))</f>
        <v/>
      </c>
    </row>
    <row r="15">
      <c r="A15" s="15" t="n">
        <v>11</v>
      </c>
      <c r="B15" s="15" t="inlineStr">
        <is>
          <t>Комутатори</t>
        </is>
      </c>
      <c r="C15" s="15" t="n">
        <v>2</v>
      </c>
      <c r="D15" s="15" t="inlineStr">
        <is>
          <t>мережеве обладнання</t>
        </is>
      </c>
      <c r="E15" s="19" t="inlineStr">
        <is>
          <t>MGMT</t>
        </is>
      </c>
      <c r="F15" s="15">
        <f>IF(C15="","",IF(D15="","вкажіть тип",IF(E15="","призначте зону",IF(D15="потребує рішення","рішення поясніть на аркуші «Обґрунтування»",IF(IFERROR(VLOOKUP(D15,$H$5:$I$11,2,FALSE),"?")=E15,"ОК","тип пристрою не відповідає зоні")))))</f>
        <v/>
      </c>
    </row>
    <row r="16">
      <c r="A16" s="15" t="n">
        <v>12</v>
      </c>
      <c r="B16" s="15" t="inlineStr">
        <is>
          <t>Точки доступу Wi-Fi</t>
        </is>
      </c>
      <c r="C16" s="15" t="n">
        <v>3</v>
      </c>
      <c r="D16" s="15" t="inlineStr">
        <is>
          <t>мережеве обладнання</t>
        </is>
      </c>
      <c r="E16" s="19" t="inlineStr">
        <is>
          <t>MGMT</t>
        </is>
      </c>
      <c r="F16" s="15">
        <f>IF(C16="","",IF(D16="","вкажіть тип",IF(E16="","призначте зону",IF(D16="потребує рішення","рішення поясніть на аркуші «Обґрунтування»",IF(IFERROR(VLOOKUP(D16,$H$5:$I$11,2,FALSE),"?")=E16,"ОК","тип пристрою не відповідає зоні")))))</f>
        <v/>
      </c>
    </row>
    <row r="17">
      <c r="A17" s="15" t="n">
        <v>13</v>
      </c>
      <c r="B17" s="15" t="inlineStr">
        <is>
          <t>Маршрутизатор і міжмережевий екран</t>
        </is>
      </c>
      <c r="C17" s="15" t="n">
        <v>2</v>
      </c>
      <c r="D17" s="15" t="inlineStr">
        <is>
          <t>мережеве обладнання</t>
        </is>
      </c>
      <c r="E17" s="19" t="inlineStr">
        <is>
          <t>MGMT</t>
        </is>
      </c>
      <c r="F17" s="15">
        <f>IF(C17="","",IF(D17="","вкажіть тип",IF(E17="","призначте зону",IF(D17="потребує рішення","рішення поясніть на аркуші «Обґрунтування»",IF(IFERROR(VLOOKUP(D17,$H$5:$I$11,2,FALSE),"?")=E17,"ОК","тип пристрою не відповідає зоні")))))</f>
        <v/>
      </c>
    </row>
    <row r="18">
      <c r="A18" s="15" t="n">
        <v>14</v>
      </c>
      <c r="B18" s="15" t="inlineStr">
        <is>
          <t>Станція адміністратора</t>
        </is>
      </c>
      <c r="C18" s="15" t="n">
        <v>1</v>
      </c>
      <c r="D18" s="15" t="inlineStr">
        <is>
          <t>мережеве обладнання</t>
        </is>
      </c>
      <c r="E18" s="19" t="inlineStr">
        <is>
          <t>MGMT</t>
        </is>
      </c>
      <c r="F18" s="15">
        <f>IF(C18="","",IF(D18="","вкажіть тип",IF(E18="","призначте зону",IF(D18="потребує рішення","рішення поясніть на аркуші «Обґрунтування»",IF(IFERROR(VLOOKUP(D18,$H$5:$I$11,2,FALSE),"?")=E18,"ОК","тип пристрою не відповідає зоні")))))</f>
        <v/>
      </c>
    </row>
    <row r="19">
      <c r="A19" s="15" t="n">
        <v>15</v>
      </c>
      <c r="B19" s="15" t="inlineStr">
        <is>
          <t>Мережевий сейф з електронним замком і сигналізацією</t>
        </is>
      </c>
      <c r="C19" s="15" t="n">
        <v>1</v>
      </c>
      <c r="D19" s="15" t="inlineStr">
        <is>
          <t>потребує рішення</t>
        </is>
      </c>
      <c r="E19" s="19" t="inlineStr">
        <is>
          <t>IOT</t>
        </is>
      </c>
      <c r="F19" s="15">
        <f>IF(C19="","",IF(D19="","вкажіть тип",IF(E19="","призначте зону",IF(D19="потребує рішення","рішення поясніть на аркуші «Обґрунтування»",IF(IFERROR(VLOOKUP(D19,$H$5:$I$11,2,FALSE),"?")=E19,"ОК","тип пристрою не відповідає зоні")))))</f>
        <v/>
      </c>
    </row>
    <row r="20">
      <c r="A20" s="15" t="n">
        <v>16</v>
      </c>
      <c r="B20" s="15" t="inlineStr">
        <is>
          <t>Ноутбуки підрядників, що налаштовують обладнання</t>
        </is>
      </c>
      <c r="C20" s="15" t="n">
        <v>2</v>
      </c>
      <c r="D20" s="15" t="inlineStr">
        <is>
          <t>потребує рішення</t>
        </is>
      </c>
      <c r="E20" s="19" t="inlineStr">
        <is>
          <t>GUEST</t>
        </is>
      </c>
      <c r="F20" s="15">
        <f>IF(C20="","",IF(D20="","вкажіть тип",IF(E20="","призначте зону",IF(D20="потребує рішення","рішення поясніть на аркуші «Обґрунтування»",IF(IFERROR(VLOOKUP(D20,$H$5:$I$11,2,FALSE),"?")=E20,"ОК","тип пристрою не відповідає зоні")))))</f>
        <v/>
      </c>
    </row>
    <row r="21">
      <c r="A21" s="17" t="n">
        <v>17</v>
      </c>
      <c r="B21" s="19" t="n"/>
      <c r="C21" s="19" t="n"/>
      <c r="D21" s="19" t="n"/>
      <c r="E21" s="19" t="n"/>
      <c r="F21" s="15">
        <f>IF(C21="","",IF(D21="","вкажіть тип",IF(E21="","призначте зону",IF(D21="потребує рішення","рішення поясніть на аркуші «Обґрунтування»",IF(IFERROR(VLOOKUP(D21,$H$5:$I$11,2,FALSE),"?")=E21,"ОК","тип пристрою не відповідає зоні")))))</f>
        <v/>
      </c>
    </row>
    <row r="22">
      <c r="A22" s="17" t="n">
        <v>18</v>
      </c>
      <c r="B22" s="19" t="n"/>
      <c r="C22" s="19" t="n"/>
      <c r="D22" s="19" t="n"/>
      <c r="E22" s="19" t="n"/>
      <c r="F22" s="15">
        <f>IF(C22="","",IF(D22="","вкажіть тип",IF(E22="","призначте зону",IF(D22="потребує рішення","рішення поясніть на аркуші «Обґрунтування»",IF(IFERROR(VLOOKUP(D22,$H$5:$I$11,2,FALSE),"?")=E22,"ОК","тип пристрою не відповідає зоні")))))</f>
        <v/>
      </c>
    </row>
    <row r="23">
      <c r="A23" s="17" t="n">
        <v>19</v>
      </c>
      <c r="B23" s="19" t="n"/>
      <c r="C23" s="19" t="n"/>
      <c r="D23" s="19" t="n"/>
      <c r="E23" s="19" t="n"/>
      <c r="F23" s="15">
        <f>IF(C23="","",IF(D23="","вкажіть тип",IF(E23="","призначте зону",IF(D23="потребує рішення","рішення поясніть на аркуші «Обґрунтування»",IF(IFERROR(VLOOKUP(D23,$H$5:$I$11,2,FALSE),"?")=E23,"ОК","тип пристрою не відповідає зоні")))))</f>
        <v/>
      </c>
    </row>
    <row r="24">
      <c r="A24" s="17" t="n">
        <v>20</v>
      </c>
      <c r="B24" s="19" t="n"/>
      <c r="C24" s="19" t="n"/>
      <c r="D24" s="19" t="n"/>
      <c r="E24" s="19" t="n"/>
      <c r="F24" s="15">
        <f>IF(C24="","",IF(D24="","вкажіть тип",IF(E24="","призначте зону",IF(D24="потребує рішення","рішення поясніть на аркуші «Обґрунтування»",IF(IFERROR(VLOOKUP(D24,$H$5:$I$11,2,FALSE),"?")=E24,"ОК","тип пристрою не відповідає зоні")))))</f>
        <v/>
      </c>
    </row>
    <row r="25">
      <c r="A25" s="17" t="n">
        <v>21</v>
      </c>
      <c r="B25" s="19" t="n"/>
      <c r="C25" s="19" t="n"/>
      <c r="D25" s="19" t="n"/>
      <c r="E25" s="19" t="n"/>
      <c r="F25" s="15">
        <f>IF(C25="","",IF(D25="","вкажіть тип",IF(E25="","призначте зону",IF(D25="потребує рішення","рішення поясніть на аркуші «Обґрунтування»",IF(IFERROR(VLOOKUP(D25,$H$5:$I$11,2,FALSE),"?")=E25,"ОК","тип пристрою не відповідає зоні")))))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F5:F25">
    <cfRule type="expression" priority="1" dxfId="1">
      <formula>F5="ОК"</formula>
    </cfRule>
    <cfRule type="expression" priority="2" dxfId="0">
      <formula>OR(LEFT(F5,3)="тип",F5="призначте зону",F5="вкажіть тип")</formula>
    </cfRule>
  </conditionalFormatting>
  <dataValidations count="2">
    <dataValidation sqref="E5:E25" showDropDown="0" showInputMessage="0" showErrorMessage="0" allowBlank="1" type="list">
      <formula1>"KASA,MANAGERS,ABS,ATM_POS,IOT,GUEST,MGMT,NEW1,NEW2"</formula1>
    </dataValidation>
    <dataValidation sqref="D21:D25" showDropDown="0" showInputMessage="0" showErrorMessage="0" allowBlank="1" type="list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A7D7B"/>
    <outlinePr summaryBelow="1" summaryRight="1"/>
    <pageSetUpPr/>
  </sheetPr>
  <dimension ref="A1:G17"/>
  <sheetViews>
    <sheetView tabSelected="0" workbookViewId="0">
      <selection activeCell="A1" sqref="A1"/>
    </sheetView>
  </sheetViews>
  <sheetFormatPr baseColWidth="8" defaultRowHeight="15"/>
  <cols>
    <col width="6" customWidth="1" style="21" min="1" max="1"/>
    <col width="26" customWidth="1" style="21" min="2" max="2"/>
    <col width="14" customWidth="1" style="21" min="3" max="3"/>
    <col width="9" customWidth="1" style="21" min="4" max="4"/>
    <col width="20" customWidth="1" style="21" min="5" max="5"/>
    <col width="10" customWidth="1" style="21" min="6" max="6"/>
    <col width="20" customWidth="1" style="21" min="7" max="7"/>
  </cols>
  <sheetData>
    <row r="1" ht="19.5" customHeight="1" s="21">
      <c r="A1" s="3" t="inlineStr">
        <is>
          <t>Чернетка адресної таблиці від колеги</t>
        </is>
      </c>
    </row>
    <row r="2">
      <c r="A2" s="4" t="inlineStr">
        <is>
          <t>У ній три помилки. Знайдіть їх, запишіть у журнал і не переносьте у свій проєкт. Кількість адрес колега порахував правильно.</t>
        </is>
      </c>
    </row>
    <row r="4" ht="39.95" customHeight="1" s="21">
      <c r="A4" s="20" t="inlineStr">
        <is>
          <t>№</t>
        </is>
      </c>
      <c r="B4" s="20" t="inlineStr">
        <is>
          <t>Зона</t>
        </is>
      </c>
      <c r="C4" s="20" t="inlineStr">
        <is>
          <t>Потрібно адрес</t>
        </is>
      </c>
      <c r="D4" s="20" t="inlineStr">
        <is>
          <t>VLAN</t>
        </is>
      </c>
      <c r="E4" s="20" t="inlineStr">
        <is>
          <t>Мережа</t>
        </is>
      </c>
      <c r="F4" s="20" t="inlineStr">
        <is>
          <t>Префікс</t>
        </is>
      </c>
      <c r="G4" s="20" t="inlineStr">
        <is>
          <t>Шлюз</t>
        </is>
      </c>
    </row>
    <row r="5">
      <c r="A5" s="15" t="n">
        <v>1</v>
      </c>
      <c r="B5" s="15" t="inlineStr">
        <is>
          <t>Каси</t>
        </is>
      </c>
      <c r="C5" s="15" t="n">
        <v>8</v>
      </c>
      <c r="D5" s="15" t="n">
        <v>130</v>
      </c>
      <c r="E5" s="15" t="inlineStr">
        <is>
          <t>10.209.130.0</t>
        </is>
      </c>
      <c r="F5" s="15" t="inlineStr">
        <is>
          <t>/28</t>
        </is>
      </c>
      <c r="G5" s="15" t="inlineStr">
        <is>
          <t>10.209.130.14</t>
        </is>
      </c>
    </row>
    <row r="6">
      <c r="A6" s="15" t="n">
        <v>2</v>
      </c>
      <c r="B6" s="15" t="inlineStr">
        <is>
          <t>Менеджери</t>
        </is>
      </c>
      <c r="C6" s="15" t="n">
        <v>9</v>
      </c>
      <c r="D6" s="15" t="n">
        <v>140</v>
      </c>
      <c r="E6" s="15" t="inlineStr">
        <is>
          <t>10.209.140.0</t>
        </is>
      </c>
      <c r="F6" s="15" t="inlineStr">
        <is>
          <t>/28</t>
        </is>
      </c>
      <c r="G6" s="15" t="inlineStr">
        <is>
          <t>10.209.140.14</t>
        </is>
      </c>
    </row>
    <row r="7">
      <c r="A7" s="15" t="n">
        <v>3</v>
      </c>
      <c r="B7" s="15" t="inlineStr">
        <is>
          <t>Термінали АБС</t>
        </is>
      </c>
      <c r="C7" s="15" t="n">
        <v>5</v>
      </c>
      <c r="D7" s="15" t="n">
        <v>1</v>
      </c>
      <c r="E7" s="15" t="inlineStr">
        <is>
          <t>10.209.1.0</t>
        </is>
      </c>
      <c r="F7" s="15" t="inlineStr">
        <is>
          <t>/29</t>
        </is>
      </c>
      <c r="G7" s="15" t="inlineStr">
        <is>
          <t>10.209.1.6</t>
        </is>
      </c>
    </row>
    <row r="8">
      <c r="A8" s="15" t="n">
        <v>4</v>
      </c>
      <c r="B8" s="15" t="inlineStr">
        <is>
          <t>Банкомати й POS</t>
        </is>
      </c>
      <c r="C8" s="15" t="n">
        <v>13</v>
      </c>
      <c r="D8" s="15" t="n">
        <v>160</v>
      </c>
      <c r="E8" s="15" t="inlineStr">
        <is>
          <t>10.209.160.0</t>
        </is>
      </c>
      <c r="F8" s="15" t="inlineStr">
        <is>
          <t>/28</t>
        </is>
      </c>
      <c r="G8" s="15" t="inlineStr">
        <is>
          <t>10.209.160.14</t>
        </is>
      </c>
    </row>
    <row r="9">
      <c r="A9" s="15" t="n">
        <v>5</v>
      </c>
      <c r="B9" s="15" t="inlineStr">
        <is>
          <t>Інтернет речей</t>
        </is>
      </c>
      <c r="C9" s="15" t="n">
        <v>36</v>
      </c>
      <c r="D9" s="15" t="n">
        <v>170</v>
      </c>
      <c r="E9" s="15" t="inlineStr">
        <is>
          <t>10.209.170.32</t>
        </is>
      </c>
      <c r="F9" s="15" t="inlineStr">
        <is>
          <t>/26</t>
        </is>
      </c>
      <c r="G9" s="15" t="inlineStr">
        <is>
          <t>10.209.170.33</t>
        </is>
      </c>
    </row>
    <row r="10">
      <c r="A10" s="15" t="n">
        <v>6</v>
      </c>
      <c r="B10" s="15" t="inlineStr">
        <is>
          <t>Гостьова Wi-Fi</t>
        </is>
      </c>
      <c r="C10" s="15" t="n">
        <v>104</v>
      </c>
      <c r="D10" s="15" t="n">
        <v>180</v>
      </c>
      <c r="E10" s="15" t="inlineStr">
        <is>
          <t>10.209.180.0</t>
        </is>
      </c>
      <c r="F10" s="15" t="inlineStr">
        <is>
          <t>/25</t>
        </is>
      </c>
      <c r="G10" s="15" t="inlineStr">
        <is>
          <t>10.209.180.126</t>
        </is>
      </c>
    </row>
    <row r="11">
      <c r="A11" s="15" t="n">
        <v>7</v>
      </c>
      <c r="B11" s="15" t="inlineStr">
        <is>
          <t>Керування обладнанням</t>
        </is>
      </c>
      <c r="C11" s="15" t="n">
        <v>11</v>
      </c>
      <c r="D11" s="15" t="n">
        <v>190</v>
      </c>
      <c r="E11" s="15" t="inlineStr">
        <is>
          <t>10.209.140.0</t>
        </is>
      </c>
      <c r="F11" s="15" t="inlineStr">
        <is>
          <t>/28</t>
        </is>
      </c>
      <c r="G11" s="15" t="inlineStr">
        <is>
          <t>10.209.140.14</t>
        </is>
      </c>
    </row>
    <row r="13" ht="15.75" customHeight="1" s="21">
      <c r="A13" s="11" t="inlineStr">
        <is>
          <t>Журнал виправлень</t>
        </is>
      </c>
    </row>
    <row r="14" ht="27.95" customHeight="1" s="21">
      <c r="A14" s="20" t="inlineStr">
        <is>
          <t>Рядок</t>
        </is>
      </c>
      <c r="B14" s="20" t="inlineStr">
        <is>
          <t>Тип помилки</t>
        </is>
      </c>
      <c r="C14" s="20" t="inlineStr">
        <is>
          <t>Що не так і як виправити</t>
        </is>
      </c>
      <c r="D14" s="22" t="n"/>
      <c r="E14" s="22" t="n"/>
      <c r="F14" s="22" t="n"/>
      <c r="G14" s="23" t="n"/>
    </row>
    <row r="15">
      <c r="A15" s="19" t="inlineStr">
        <is>
          <t>3</t>
        </is>
      </c>
      <c r="B15" s="19" t="inlineStr">
        <is>
          <t>VLAN 1</t>
        </is>
      </c>
      <c r="C15" s="19" t="inlineStr">
        <is>
          <t>Термінали АБС у VLAN 1 — це VLAN за замовчуванням, правила забороняють його використовувати. Треба окремий номер із проміжком (у мене 30) і мережа 10.209.30.0/29, шлюз .6.</t>
        </is>
      </c>
      <c r="D15" s="24" t="n"/>
      <c r="E15" s="24" t="n"/>
      <c r="F15" s="24" t="n"/>
      <c r="G15" s="25" t="n"/>
    </row>
    <row r="16">
      <c r="A16" s="19" t="inlineStr">
        <is>
          <t>5</t>
        </is>
      </c>
      <c r="B16" s="19" t="inlineStr">
        <is>
          <t>Адреса мережі не на межі / шлюз не за правилом</t>
        </is>
      </c>
      <c r="C16" s="19" t="inlineStr">
        <is>
          <t>/26 має починатися з адреси, кратної 64: .32 — не межа. Правильно 10.209.170.0/26; шлюз — остання корисна адреса .62, а не перша .33.</t>
        </is>
      </c>
      <c r="D16" s="24" t="n"/>
      <c r="E16" s="24" t="n"/>
      <c r="F16" s="24" t="n"/>
      <c r="G16" s="25" t="n"/>
    </row>
    <row r="17">
      <c r="A17" s="19" t="inlineStr">
        <is>
          <t>7</t>
        </is>
      </c>
      <c r="B17" s="19" t="inlineStr">
        <is>
          <t>Мережа не відповідає VLAN</t>
        </is>
      </c>
      <c r="C17" s="19" t="inlineStr">
        <is>
          <t>Для VLAN 190 мережа має бути 10.209.190.0/28, а колега скопіював 10.209.140.0 з рядка «Менеджери» — дві зони з однією підмережею. Шлюз тоді 10.209.190.14.</t>
        </is>
      </c>
      <c r="D17" s="24" t="n"/>
      <c r="E17" s="24" t="n"/>
      <c r="F17" s="24" t="n"/>
      <c r="G17" s="2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A7D7B"/>
    <outlinePr summaryBelow="1" summaryRight="1"/>
    <pageSetUpPr/>
  </sheetPr>
  <dimension ref="A1:U20"/>
  <sheetViews>
    <sheetView tabSelected="0" workbookViewId="0">
      <selection activeCell="A1" sqref="A1"/>
    </sheetView>
  </sheetViews>
  <sheetFormatPr baseColWidth="8" defaultRowHeight="15"/>
  <cols>
    <col width="11" customWidth="1" style="21" min="1" max="1"/>
    <col width="22" customWidth="1" style="21" min="2" max="2"/>
    <col width="10" customWidth="1" style="21" min="3" max="3"/>
    <col width="11" customWidth="1" style="21" min="4" max="4"/>
    <col width="13" customWidth="1" style="21" min="5" max="5"/>
    <col width="8" customWidth="1" style="21" min="6" max="6"/>
    <col width="16" customWidth="1" style="21" min="7" max="8"/>
    <col width="9" customWidth="1" style="21" min="9" max="9"/>
    <col width="16" customWidth="1" style="21" min="10" max="10"/>
    <col width="10" customWidth="1" style="21" min="11" max="11"/>
    <col width="56" customWidth="1" style="21" min="12" max="12"/>
    <col hidden="1" width="13" customWidth="1" style="21" min="14" max="21"/>
  </cols>
  <sheetData>
    <row r="1" ht="19.5" customHeight="1" s="21">
      <c r="A1" s="3" t="inlineStr">
        <is>
          <t>Зони, VLAN і адресна таблиця</t>
        </is>
      </c>
    </row>
    <row r="2">
      <c r="A2" s="4" t="inlineStr">
        <is>
          <t>Рядки NEW1 і NEW2 потрібні лише для нової обставини. Колонка «Перевірка» підказує, що виправити.</t>
        </is>
      </c>
    </row>
    <row r="4" ht="54" customHeight="1" s="21">
      <c r="A4" s="20" t="inlineStr">
        <is>
          <t>Код зони</t>
        </is>
      </c>
      <c r="B4" s="20" t="inlineStr">
        <is>
          <t>Назва зони</t>
        </is>
      </c>
      <c r="C4" s="20" t="inlineStr">
        <is>
          <t>Пристроїв зараз</t>
        </is>
      </c>
      <c r="D4" s="20" t="inlineStr">
        <is>
          <t>Зростання за рік, %</t>
        </is>
      </c>
      <c r="E4" s="20" t="inlineStr">
        <is>
          <t>Потрібно адрес (ваш розрахунок)</t>
        </is>
      </c>
      <c r="F4" s="20" t="inlineStr">
        <is>
          <t>VLAN</t>
        </is>
      </c>
      <c r="G4" s="20" t="inlineStr">
        <is>
          <t>Назва VLAN</t>
        </is>
      </c>
      <c r="H4" s="20" t="inlineStr">
        <is>
          <t>Мережа</t>
        </is>
      </c>
      <c r="I4" s="20" t="inlineStr">
        <is>
          <t>Префікс (число)</t>
        </is>
      </c>
      <c r="J4" s="20" t="inlineStr">
        <is>
          <t>Шлюз</t>
        </is>
      </c>
      <c r="K4" s="20" t="inlineStr">
        <is>
          <t>Корисних адрес</t>
        </is>
      </c>
      <c r="L4" s="20" t="inlineStr">
        <is>
          <t>Перевірка</t>
        </is>
      </c>
    </row>
    <row r="5">
      <c r="A5" s="15" t="inlineStr">
        <is>
          <t>KASA</t>
        </is>
      </c>
      <c r="B5" s="15" t="inlineStr">
        <is>
          <t>Каси</t>
        </is>
      </c>
      <c r="C5" s="15">
        <f>SUMIF('В08 Пристрої'!$E$5:$E$25,A5,'В08 Пристрої'!$C$5:$C$25)</f>
        <v/>
      </c>
      <c r="D5" s="15" t="n">
        <v>15</v>
      </c>
      <c r="E5" s="19" t="n">
        <v>8</v>
      </c>
      <c r="F5" s="19" t="n">
        <v>10</v>
      </c>
      <c r="G5" s="19" t="inlineStr">
        <is>
          <t>V10_KASY</t>
        </is>
      </c>
      <c r="H5" s="19" t="inlineStr">
        <is>
          <t>10.209.10.0</t>
        </is>
      </c>
      <c r="I5" s="19" t="n">
        <v>28</v>
      </c>
      <c r="J5" s="19" t="inlineStr">
        <is>
          <t>10.209.10.14</t>
        </is>
      </c>
      <c r="K5" s="15">
        <f>IF(OR(I5="",NOT(ISNUMBER(I5))),"",2^(32-I5)-2)</f>
        <v/>
      </c>
      <c r="L5" s="15">
        <f>IF(C5=0,"",IF(E5&lt;&gt;N5,"перерахуйте потрібну кількість адрес",IF(NOT(AND(ISNUMBER(F5),F5&gt;=2,F5&lt;=254,F5=INT(F5))),"VLAN — ціле число від 2 до 254",IF(COUNTIF($F$5:$F$13,F5)&gt;1,"VLAN повторюється",IF(SUMPRODUCT(($F$5:$F$13&lt;&gt;"")*(ABS($F$5:$F$13-F5)&lt;5))&gt;1,"між VLAN сусідніх зон проміжок менше 5",IF(AND($C$17&lt;&gt;"",$C$18&lt;&gt;"",F5&gt;=$C$17,F5&lt;=$C$18),"VLAN у зарезервованому діапазоні",IF(NOT(AND(ISNUMBER(I5),I5&gt;=24,I5&lt;=30)),"префікс — число від 24 до 30",IF(I5&gt;O5,"підмережа замала для потрібної кількості адрес",IF(OR(P5&lt;&gt;10,Q5&lt;&gt;'В08 Картка'!$B$5,R5&lt;&gt;F5),"мережа має бути 10.A.&lt;VLAN&gt;.x",IF(MOD(S5,2^(32-I5))&lt;&gt;0,"адреса мережі не на межі підмережі",IF(OR(U5&lt;&gt;1,T5&lt;&gt;IF(ISNUMBER(SEARCH("остання",'В08 Картка'!$B$6)),S5+2^(32-I5)-2,S5+1)),"шлюз не за правилом варіанта","ОК")))))))))))</f>
        <v/>
      </c>
      <c r="N5">
        <f>IF(C5=0,0,ROUNDUP(ROUND(C5*(1+D5/100),6),0)+1)</f>
        <v/>
      </c>
      <c r="O5">
        <f>IF(N5=0,"",32-MAX(2,ROUNDUP(LOG(N5+2,2)-0.000001,0)))</f>
        <v/>
      </c>
      <c r="P5">
        <f>IFERROR(VALUE(LEFT(H5,FIND(".",H5)-1)),-1)</f>
        <v/>
      </c>
      <c r="Q5">
        <f>IFERROR(VALUE(MID(H5,FIND(".",H5)+1,FIND("#",SUBSTITUTE(H5,".","#",2))-FIND(".",H5)-1)),-1)</f>
        <v/>
      </c>
      <c r="R5">
        <f>IFERROR(VALUE(MID(H5,FIND("#",SUBSTITUTE(H5,".","#",2))+1,FIND("#",SUBSTITUTE(H5,".","#",3))-FIND("#",SUBSTITUTE(H5,".","#",2))-1)),-1)</f>
        <v/>
      </c>
      <c r="S5">
        <f>IFERROR(VALUE(MID(H5,FIND("#",SUBSTITUTE(H5,".","#",3))+1,3)),-1)</f>
        <v/>
      </c>
      <c r="T5">
        <f>IFERROR(VALUE(MID(J5,FIND("#",SUBSTITUTE(J5,".","#",3))+1,3)),-1)</f>
        <v/>
      </c>
      <c r="U5">
        <f>IF(IFERROR(LEFT(H5,FIND("#",SUBSTITUTE(H5,".","#",3))),"")=IFERROR(LEFT(J5,FIND("#",SUBSTITUTE(J5,".","#",3))),""),1,0)</f>
        <v/>
      </c>
    </row>
    <row r="6">
      <c r="A6" s="15" t="inlineStr">
        <is>
          <t>MANAGERS</t>
        </is>
      </c>
      <c r="B6" s="15" t="inlineStr">
        <is>
          <t>Менеджери</t>
        </is>
      </c>
      <c r="C6" s="15">
        <f>SUMIF('В08 Пристрої'!$E$5:$E$25,A6,'В08 Пристрої'!$C$5:$C$25)</f>
        <v/>
      </c>
      <c r="D6" s="15" t="n">
        <v>20</v>
      </c>
      <c r="E6" s="19" t="n">
        <v>9</v>
      </c>
      <c r="F6" s="19" t="n">
        <v>20</v>
      </c>
      <c r="G6" s="19" t="inlineStr">
        <is>
          <t>V20_MENEDZHERY</t>
        </is>
      </c>
      <c r="H6" s="19" t="inlineStr">
        <is>
          <t>10.209.20.0</t>
        </is>
      </c>
      <c r="I6" s="19" t="n">
        <v>28</v>
      </c>
      <c r="J6" s="19" t="inlineStr">
        <is>
          <t>10.209.20.14</t>
        </is>
      </c>
      <c r="K6" s="15">
        <f>IF(OR(I6="",NOT(ISNUMBER(I6))),"",2^(32-I6)-2)</f>
        <v/>
      </c>
      <c r="L6" s="15">
        <f>IF(C6=0,"",IF(E6&lt;&gt;N6,"перерахуйте потрібну кількість адрес",IF(NOT(AND(ISNUMBER(F6),F6&gt;=2,F6&lt;=254,F6=INT(F6))),"VLAN — ціле число від 2 до 254",IF(COUNTIF($F$5:$F$13,F6)&gt;1,"VLAN повторюється",IF(SUMPRODUCT(($F$5:$F$13&lt;&gt;"")*(ABS($F$5:$F$13-F6)&lt;5))&gt;1,"між VLAN сусідніх зон проміжок менше 5",IF(AND($C$17&lt;&gt;"",$C$18&lt;&gt;"",F6&gt;=$C$17,F6&lt;=$C$18),"VLAN у зарезервованому діапазоні",IF(NOT(AND(ISNUMBER(I6),I6&gt;=24,I6&lt;=30)),"префікс — число від 24 до 30",IF(I6&gt;O6,"підмережа замала для потрібної кількості адрес",IF(OR(P6&lt;&gt;10,Q6&lt;&gt;'В08 Картка'!$B$5,R6&lt;&gt;F6),"мережа має бути 10.A.&lt;VLAN&gt;.x",IF(MOD(S6,2^(32-I6))&lt;&gt;0,"адреса мережі не на межі підмережі",IF(OR(U6&lt;&gt;1,T6&lt;&gt;IF(ISNUMBER(SEARCH("остання",'В08 Картка'!$B$6)),S6+2^(32-I6)-2,S6+1)),"шлюз не за правилом варіанта","ОК")))))))))))</f>
        <v/>
      </c>
      <c r="N6">
        <f>IF(C6=0,0,ROUNDUP(ROUND(C6*(1+D6/100),6),0)+1)</f>
        <v/>
      </c>
      <c r="O6">
        <f>IF(N6=0,"",32-MAX(2,ROUNDUP(LOG(N6+2,2)-0.000001,0)))</f>
        <v/>
      </c>
      <c r="P6">
        <f>IFERROR(VALUE(LEFT(H6,FIND(".",H6)-1)),-1)</f>
        <v/>
      </c>
      <c r="Q6">
        <f>IFERROR(VALUE(MID(H6,FIND(".",H6)+1,FIND("#",SUBSTITUTE(H6,".","#",2))-FIND(".",H6)-1)),-1)</f>
        <v/>
      </c>
      <c r="R6">
        <f>IFERROR(VALUE(MID(H6,FIND("#",SUBSTITUTE(H6,".","#",2))+1,FIND("#",SUBSTITUTE(H6,".","#",3))-FIND("#",SUBSTITUTE(H6,".","#",2))-1)),-1)</f>
        <v/>
      </c>
      <c r="S6">
        <f>IFERROR(VALUE(MID(H6,FIND("#",SUBSTITUTE(H6,".","#",3))+1,3)),-1)</f>
        <v/>
      </c>
      <c r="T6">
        <f>IFERROR(VALUE(MID(J6,FIND("#",SUBSTITUTE(J6,".","#",3))+1,3)),-1)</f>
        <v/>
      </c>
      <c r="U6">
        <f>IF(IFERROR(LEFT(H6,FIND("#",SUBSTITUTE(H6,".","#",3))),"")=IFERROR(LEFT(J6,FIND("#",SUBSTITUTE(J6,".","#",3))),""),1,0)</f>
        <v/>
      </c>
    </row>
    <row r="7">
      <c r="A7" s="15" t="inlineStr">
        <is>
          <t>ABS</t>
        </is>
      </c>
      <c r="B7" s="15" t="inlineStr">
        <is>
          <t>Термінали АБС</t>
        </is>
      </c>
      <c r="C7" s="15">
        <f>SUMIF('В08 Пристрої'!$E$5:$E$25,A7,'В08 Пристрої'!$C$5:$C$25)</f>
        <v/>
      </c>
      <c r="D7" s="15" t="n">
        <v>30</v>
      </c>
      <c r="E7" s="19" t="n">
        <v>5</v>
      </c>
      <c r="F7" s="19" t="n">
        <v>30</v>
      </c>
      <c r="G7" s="19" t="inlineStr">
        <is>
          <t>V30_ABS</t>
        </is>
      </c>
      <c r="H7" s="19" t="inlineStr">
        <is>
          <t>10.209.30.0</t>
        </is>
      </c>
      <c r="I7" s="19" t="n">
        <v>29</v>
      </c>
      <c r="J7" s="19" t="inlineStr">
        <is>
          <t>10.209.30.6</t>
        </is>
      </c>
      <c r="K7" s="15">
        <f>IF(OR(I7="",NOT(ISNUMBER(I7))),"",2^(32-I7)-2)</f>
        <v/>
      </c>
      <c r="L7" s="15">
        <f>IF(C7=0,"",IF(E7&lt;&gt;N7,"перерахуйте потрібну кількість адрес",IF(NOT(AND(ISNUMBER(F7),F7&gt;=2,F7&lt;=254,F7=INT(F7))),"VLAN — ціле число від 2 до 254",IF(COUNTIF($F$5:$F$13,F7)&gt;1,"VLAN повторюється",IF(SUMPRODUCT(($F$5:$F$13&lt;&gt;"")*(ABS($F$5:$F$13-F7)&lt;5))&gt;1,"між VLAN сусідніх зон проміжок менше 5",IF(AND($C$17&lt;&gt;"",$C$18&lt;&gt;"",F7&gt;=$C$17,F7&lt;=$C$18),"VLAN у зарезервованому діапазоні",IF(NOT(AND(ISNUMBER(I7),I7&gt;=24,I7&lt;=30)),"префікс — число від 24 до 30",IF(I7&gt;O7,"підмережа замала для потрібної кількості адрес",IF(OR(P7&lt;&gt;10,Q7&lt;&gt;'В08 Картка'!$B$5,R7&lt;&gt;F7),"мережа має бути 10.A.&lt;VLAN&gt;.x",IF(MOD(S7,2^(32-I7))&lt;&gt;0,"адреса мережі не на межі підмережі",IF(OR(U7&lt;&gt;1,T7&lt;&gt;IF(ISNUMBER(SEARCH("остання",'В08 Картка'!$B$6)),S7+2^(32-I7)-2,S7+1)),"шлюз не за правилом варіанта","ОК")))))))))))</f>
        <v/>
      </c>
      <c r="N7">
        <f>IF(C7=0,0,ROUNDUP(ROUND(C7*(1+D7/100),6),0)+1)</f>
        <v/>
      </c>
      <c r="O7">
        <f>IF(N7=0,"",32-MAX(2,ROUNDUP(LOG(N7+2,2)-0.000001,0)))</f>
        <v/>
      </c>
      <c r="P7">
        <f>IFERROR(VALUE(LEFT(H7,FIND(".",H7)-1)),-1)</f>
        <v/>
      </c>
      <c r="Q7">
        <f>IFERROR(VALUE(MID(H7,FIND(".",H7)+1,FIND("#",SUBSTITUTE(H7,".","#",2))-FIND(".",H7)-1)),-1)</f>
        <v/>
      </c>
      <c r="R7">
        <f>IFERROR(VALUE(MID(H7,FIND("#",SUBSTITUTE(H7,".","#",2))+1,FIND("#",SUBSTITUTE(H7,".","#",3))-FIND("#",SUBSTITUTE(H7,".","#",2))-1)),-1)</f>
        <v/>
      </c>
      <c r="S7">
        <f>IFERROR(VALUE(MID(H7,FIND("#",SUBSTITUTE(H7,".","#",3))+1,3)),-1)</f>
        <v/>
      </c>
      <c r="T7">
        <f>IFERROR(VALUE(MID(J7,FIND("#",SUBSTITUTE(J7,".","#",3))+1,3)),-1)</f>
        <v/>
      </c>
      <c r="U7">
        <f>IF(IFERROR(LEFT(H7,FIND("#",SUBSTITUTE(H7,".","#",3))),"")=IFERROR(LEFT(J7,FIND("#",SUBSTITUTE(J7,".","#",3))),""),1,0)</f>
        <v/>
      </c>
    </row>
    <row r="8">
      <c r="A8" s="15" t="inlineStr">
        <is>
          <t>ATM_POS</t>
        </is>
      </c>
      <c r="B8" s="15" t="inlineStr">
        <is>
          <t>Банкомати й POS</t>
        </is>
      </c>
      <c r="C8" s="15">
        <f>SUMIF('В08 Пристрої'!$E$5:$E$25,A8,'В08 Пристрої'!$C$5:$C$25)</f>
        <v/>
      </c>
      <c r="D8" s="15" t="n">
        <v>20</v>
      </c>
      <c r="E8" s="19" t="n">
        <v>13</v>
      </c>
      <c r="F8" s="19" t="n">
        <v>40</v>
      </c>
      <c r="G8" s="19" t="inlineStr">
        <is>
          <t>V40_ATM_POS</t>
        </is>
      </c>
      <c r="H8" s="19" t="inlineStr">
        <is>
          <t>10.209.40.0</t>
        </is>
      </c>
      <c r="I8" s="19" t="n">
        <v>28</v>
      </c>
      <c r="J8" s="19" t="inlineStr">
        <is>
          <t>10.209.40.14</t>
        </is>
      </c>
      <c r="K8" s="15">
        <f>IF(OR(I8="",NOT(ISNUMBER(I8))),"",2^(32-I8)-2)</f>
        <v/>
      </c>
      <c r="L8" s="15">
        <f>IF(C8=0,"",IF(E8&lt;&gt;N8,"перерахуйте потрібну кількість адрес",IF(NOT(AND(ISNUMBER(F8),F8&gt;=2,F8&lt;=254,F8=INT(F8))),"VLAN — ціле число від 2 до 254",IF(COUNTIF($F$5:$F$13,F8)&gt;1,"VLAN повторюється",IF(SUMPRODUCT(($F$5:$F$13&lt;&gt;"")*(ABS($F$5:$F$13-F8)&lt;5))&gt;1,"між VLAN сусідніх зон проміжок менше 5",IF(AND($C$17&lt;&gt;"",$C$18&lt;&gt;"",F8&gt;=$C$17,F8&lt;=$C$18),"VLAN у зарезервованому діапазоні",IF(NOT(AND(ISNUMBER(I8),I8&gt;=24,I8&lt;=30)),"префікс — число від 24 до 30",IF(I8&gt;O8,"підмережа замала для потрібної кількості адрес",IF(OR(P8&lt;&gt;10,Q8&lt;&gt;'В08 Картка'!$B$5,R8&lt;&gt;F8),"мережа має бути 10.A.&lt;VLAN&gt;.x",IF(MOD(S8,2^(32-I8))&lt;&gt;0,"адреса мережі не на межі підмережі",IF(OR(U8&lt;&gt;1,T8&lt;&gt;IF(ISNUMBER(SEARCH("остання",'В08 Картка'!$B$6)),S8+2^(32-I8)-2,S8+1)),"шлюз не за правилом варіанта","ОК")))))))))))</f>
        <v/>
      </c>
      <c r="N8">
        <f>IF(C8=0,0,ROUNDUP(ROUND(C8*(1+D8/100),6),0)+1)</f>
        <v/>
      </c>
      <c r="O8">
        <f>IF(N8=0,"",32-MAX(2,ROUNDUP(LOG(N8+2,2)-0.000001,0)))</f>
        <v/>
      </c>
      <c r="P8">
        <f>IFERROR(VALUE(LEFT(H8,FIND(".",H8)-1)),-1)</f>
        <v/>
      </c>
      <c r="Q8">
        <f>IFERROR(VALUE(MID(H8,FIND(".",H8)+1,FIND("#",SUBSTITUTE(H8,".","#",2))-FIND(".",H8)-1)),-1)</f>
        <v/>
      </c>
      <c r="R8">
        <f>IFERROR(VALUE(MID(H8,FIND("#",SUBSTITUTE(H8,".","#",2))+1,FIND("#",SUBSTITUTE(H8,".","#",3))-FIND("#",SUBSTITUTE(H8,".","#",2))-1)),-1)</f>
        <v/>
      </c>
      <c r="S8">
        <f>IFERROR(VALUE(MID(H8,FIND("#",SUBSTITUTE(H8,".","#",3))+1,3)),-1)</f>
        <v/>
      </c>
      <c r="T8">
        <f>IFERROR(VALUE(MID(J8,FIND("#",SUBSTITUTE(J8,".","#",3))+1,3)),-1)</f>
        <v/>
      </c>
      <c r="U8">
        <f>IF(IFERROR(LEFT(H8,FIND("#",SUBSTITUTE(H8,".","#",3))),"")=IFERROR(LEFT(J8,FIND("#",SUBSTITUTE(J8,".","#",3))),""),1,0)</f>
        <v/>
      </c>
    </row>
    <row r="9">
      <c r="A9" s="15" t="inlineStr">
        <is>
          <t>IOT</t>
        </is>
      </c>
      <c r="B9" s="15" t="inlineStr">
        <is>
          <t>Інтернет речей</t>
        </is>
      </c>
      <c r="C9" s="15">
        <f>SUMIF('В08 Пристрої'!$E$5:$E$25,A9,'В08 Пристрої'!$C$5:$C$25)</f>
        <v/>
      </c>
      <c r="D9" s="15" t="n">
        <v>50</v>
      </c>
      <c r="E9" s="19" t="n">
        <v>36</v>
      </c>
      <c r="F9" s="19" t="n">
        <v>50</v>
      </c>
      <c r="G9" s="19" t="inlineStr">
        <is>
          <t>V50_IOT</t>
        </is>
      </c>
      <c r="H9" s="19" t="inlineStr">
        <is>
          <t>10.209.50.0</t>
        </is>
      </c>
      <c r="I9" s="19" t="n">
        <v>26</v>
      </c>
      <c r="J9" s="19" t="inlineStr">
        <is>
          <t>10.209.50.62</t>
        </is>
      </c>
      <c r="K9" s="15">
        <f>IF(OR(I9="",NOT(ISNUMBER(I9))),"",2^(32-I9)-2)</f>
        <v/>
      </c>
      <c r="L9" s="15">
        <f>IF(C9=0,"",IF(E9&lt;&gt;N9,"перерахуйте потрібну кількість адрес",IF(NOT(AND(ISNUMBER(F9),F9&gt;=2,F9&lt;=254,F9=INT(F9))),"VLAN — ціле число від 2 до 254",IF(COUNTIF($F$5:$F$13,F9)&gt;1,"VLAN повторюється",IF(SUMPRODUCT(($F$5:$F$13&lt;&gt;"")*(ABS($F$5:$F$13-F9)&lt;5))&gt;1,"між VLAN сусідніх зон проміжок менше 5",IF(AND($C$17&lt;&gt;"",$C$18&lt;&gt;"",F9&gt;=$C$17,F9&lt;=$C$18),"VLAN у зарезервованому діапазоні",IF(NOT(AND(ISNUMBER(I9),I9&gt;=24,I9&lt;=30)),"префікс — число від 24 до 30",IF(I9&gt;O9,"підмережа замала для потрібної кількості адрес",IF(OR(P9&lt;&gt;10,Q9&lt;&gt;'В08 Картка'!$B$5,R9&lt;&gt;F9),"мережа має бути 10.A.&lt;VLAN&gt;.x",IF(MOD(S9,2^(32-I9))&lt;&gt;0,"адреса мережі не на межі підмережі",IF(OR(U9&lt;&gt;1,T9&lt;&gt;IF(ISNUMBER(SEARCH("остання",'В08 Картка'!$B$6)),S9+2^(32-I9)-2,S9+1)),"шлюз не за правилом варіанта","ОК")))))))))))</f>
        <v/>
      </c>
      <c r="N9">
        <f>IF(C9=0,0,ROUNDUP(ROUND(C9*(1+D9/100),6),0)+1)</f>
        <v/>
      </c>
      <c r="O9">
        <f>IF(N9=0,"",32-MAX(2,ROUNDUP(LOG(N9+2,2)-0.000001,0)))</f>
        <v/>
      </c>
      <c r="P9">
        <f>IFERROR(VALUE(LEFT(H9,FIND(".",H9)-1)),-1)</f>
        <v/>
      </c>
      <c r="Q9">
        <f>IFERROR(VALUE(MID(H9,FIND(".",H9)+1,FIND("#",SUBSTITUTE(H9,".","#",2))-FIND(".",H9)-1)),-1)</f>
        <v/>
      </c>
      <c r="R9">
        <f>IFERROR(VALUE(MID(H9,FIND("#",SUBSTITUTE(H9,".","#",2))+1,FIND("#",SUBSTITUTE(H9,".","#",3))-FIND("#",SUBSTITUTE(H9,".","#",2))-1)),-1)</f>
        <v/>
      </c>
      <c r="S9">
        <f>IFERROR(VALUE(MID(H9,FIND("#",SUBSTITUTE(H9,".","#",3))+1,3)),-1)</f>
        <v/>
      </c>
      <c r="T9">
        <f>IFERROR(VALUE(MID(J9,FIND("#",SUBSTITUTE(J9,".","#",3))+1,3)),-1)</f>
        <v/>
      </c>
      <c r="U9">
        <f>IF(IFERROR(LEFT(H9,FIND("#",SUBSTITUTE(H9,".","#",3))),"")=IFERROR(LEFT(J9,FIND("#",SUBSTITUTE(J9,".","#",3))),""),1,0)</f>
        <v/>
      </c>
    </row>
    <row r="10">
      <c r="A10" s="15" t="inlineStr">
        <is>
          <t>GUEST</t>
        </is>
      </c>
      <c r="B10" s="15" t="inlineStr">
        <is>
          <t>Гостьова Wi-Fi</t>
        </is>
      </c>
      <c r="C10" s="15">
        <f>SUMIF('В08 Пристрої'!$E$5:$E$25,A10,'В08 Пристрої'!$C$5:$C$25)</f>
        <v/>
      </c>
      <c r="D10" s="15" t="n">
        <v>25</v>
      </c>
      <c r="E10" s="19" t="n">
        <v>104</v>
      </c>
      <c r="F10" s="19" t="n">
        <v>90</v>
      </c>
      <c r="G10" s="19" t="inlineStr">
        <is>
          <t>V90_GUEST</t>
        </is>
      </c>
      <c r="H10" s="19" t="inlineStr">
        <is>
          <t>10.209.90.0</t>
        </is>
      </c>
      <c r="I10" s="19" t="n">
        <v>25</v>
      </c>
      <c r="J10" s="19" t="inlineStr">
        <is>
          <t>10.209.90.126</t>
        </is>
      </c>
      <c r="K10" s="15">
        <f>IF(OR(I10="",NOT(ISNUMBER(I10))),"",2^(32-I10)-2)</f>
        <v/>
      </c>
      <c r="L10" s="15">
        <f>IF(C10=0,"",IF(E10&lt;&gt;N10,"перерахуйте потрібну кількість адрес",IF(NOT(AND(ISNUMBER(F10),F10&gt;=2,F10&lt;=254,F10=INT(F10))),"VLAN — ціле число від 2 до 254",IF(COUNTIF($F$5:$F$13,F10)&gt;1,"VLAN повторюється",IF(SUMPRODUCT(($F$5:$F$13&lt;&gt;"")*(ABS($F$5:$F$13-F10)&lt;5))&gt;1,"між VLAN сусідніх зон проміжок менше 5",IF(AND($C$17&lt;&gt;"",$C$18&lt;&gt;"",F10&gt;=$C$17,F10&lt;=$C$18),"VLAN у зарезервованому діапазоні",IF(NOT(AND(ISNUMBER(I10),I10&gt;=24,I10&lt;=30)),"префікс — число від 24 до 30",IF(I10&gt;O10,"підмережа замала для потрібної кількості адрес",IF(OR(P10&lt;&gt;10,Q10&lt;&gt;'В08 Картка'!$B$5,R10&lt;&gt;F10),"мережа має бути 10.A.&lt;VLAN&gt;.x",IF(MOD(S10,2^(32-I10))&lt;&gt;0,"адреса мережі не на межі підмережі",IF(OR(U10&lt;&gt;1,T10&lt;&gt;IF(ISNUMBER(SEARCH("остання",'В08 Картка'!$B$6)),S10+2^(32-I10)-2,S10+1)),"шлюз не за правилом варіанта","ОК")))))))))))</f>
        <v/>
      </c>
      <c r="N10">
        <f>IF(C10=0,0,ROUNDUP(ROUND(C10*(1+D10/100),6),0)+1)</f>
        <v/>
      </c>
      <c r="O10">
        <f>IF(N10=0,"",32-MAX(2,ROUNDUP(LOG(N10+2,2)-0.000001,0)))</f>
        <v/>
      </c>
      <c r="P10">
        <f>IFERROR(VALUE(LEFT(H10,FIND(".",H10)-1)),-1)</f>
        <v/>
      </c>
      <c r="Q10">
        <f>IFERROR(VALUE(MID(H10,FIND(".",H10)+1,FIND("#",SUBSTITUTE(H10,".","#",2))-FIND(".",H10)-1)),-1)</f>
        <v/>
      </c>
      <c r="R10">
        <f>IFERROR(VALUE(MID(H10,FIND("#",SUBSTITUTE(H10,".","#",2))+1,FIND("#",SUBSTITUTE(H10,".","#",3))-FIND("#",SUBSTITUTE(H10,".","#",2))-1)),-1)</f>
        <v/>
      </c>
      <c r="S10">
        <f>IFERROR(VALUE(MID(H10,FIND("#",SUBSTITUTE(H10,".","#",3))+1,3)),-1)</f>
        <v/>
      </c>
      <c r="T10">
        <f>IFERROR(VALUE(MID(J10,FIND("#",SUBSTITUTE(J10,".","#",3))+1,3)),-1)</f>
        <v/>
      </c>
      <c r="U10">
        <f>IF(IFERROR(LEFT(H10,FIND("#",SUBSTITUTE(H10,".","#",3))),"")=IFERROR(LEFT(J10,FIND("#",SUBSTITUTE(J10,".","#",3))),""),1,0)</f>
        <v/>
      </c>
    </row>
    <row r="11">
      <c r="A11" s="15" t="inlineStr">
        <is>
          <t>MGMT</t>
        </is>
      </c>
      <c r="B11" s="15" t="inlineStr">
        <is>
          <t>Керування обладнанням</t>
        </is>
      </c>
      <c r="C11" s="15">
        <f>SUMIF('В08 Пристрої'!$E$5:$E$25,A11,'В08 Пристрої'!$C$5:$C$25)</f>
        <v/>
      </c>
      <c r="D11" s="15" t="n">
        <v>20</v>
      </c>
      <c r="E11" s="19" t="n">
        <v>11</v>
      </c>
      <c r="F11" s="19" t="n">
        <v>100</v>
      </c>
      <c r="G11" s="19" t="inlineStr">
        <is>
          <t>V100_MGMT</t>
        </is>
      </c>
      <c r="H11" s="19" t="inlineStr">
        <is>
          <t>10.209.100.0</t>
        </is>
      </c>
      <c r="I11" s="19" t="n">
        <v>28</v>
      </c>
      <c r="J11" s="19" t="inlineStr">
        <is>
          <t>10.209.100.14</t>
        </is>
      </c>
      <c r="K11" s="15">
        <f>IF(OR(I11="",NOT(ISNUMBER(I11))),"",2^(32-I11)-2)</f>
        <v/>
      </c>
      <c r="L11" s="15">
        <f>IF(C11=0,"",IF(E11&lt;&gt;N11,"перерахуйте потрібну кількість адрес",IF(NOT(AND(ISNUMBER(F11),F11&gt;=2,F11&lt;=254,F11=INT(F11))),"VLAN — ціле число від 2 до 254",IF(COUNTIF($F$5:$F$13,F11)&gt;1,"VLAN повторюється",IF(SUMPRODUCT(($F$5:$F$13&lt;&gt;"")*(ABS($F$5:$F$13-F11)&lt;5))&gt;1,"між VLAN сусідніх зон проміжок менше 5",IF(AND($C$17&lt;&gt;"",$C$18&lt;&gt;"",F11&gt;=$C$17,F11&lt;=$C$18),"VLAN у зарезервованому діапазоні",IF(NOT(AND(ISNUMBER(I11),I11&gt;=24,I11&lt;=30)),"префікс — число від 24 до 30",IF(I11&gt;O11,"підмережа замала для потрібної кількості адрес",IF(OR(P11&lt;&gt;10,Q11&lt;&gt;'В08 Картка'!$B$5,R11&lt;&gt;F11),"мережа має бути 10.A.&lt;VLAN&gt;.x",IF(MOD(S11,2^(32-I11))&lt;&gt;0,"адреса мережі не на межі підмережі",IF(OR(U11&lt;&gt;1,T11&lt;&gt;IF(ISNUMBER(SEARCH("остання",'В08 Картка'!$B$6)),S11+2^(32-I11)-2,S11+1)),"шлюз не за правилом варіанта","ОК")))))))))))</f>
        <v/>
      </c>
      <c r="N11">
        <f>IF(C11=0,0,ROUNDUP(ROUND(C11*(1+D11/100),6),0)+1)</f>
        <v/>
      </c>
      <c r="O11">
        <f>IF(N11=0,"",32-MAX(2,ROUNDUP(LOG(N11+2,2)-0.000001,0)))</f>
        <v/>
      </c>
      <c r="P11">
        <f>IFERROR(VALUE(LEFT(H11,FIND(".",H11)-1)),-1)</f>
        <v/>
      </c>
      <c r="Q11">
        <f>IFERROR(VALUE(MID(H11,FIND(".",H11)+1,FIND("#",SUBSTITUTE(H11,".","#",2))-FIND(".",H11)-1)),-1)</f>
        <v/>
      </c>
      <c r="R11">
        <f>IFERROR(VALUE(MID(H11,FIND("#",SUBSTITUTE(H11,".","#",2))+1,FIND("#",SUBSTITUTE(H11,".","#",3))-FIND("#",SUBSTITUTE(H11,".","#",2))-1)),-1)</f>
        <v/>
      </c>
      <c r="S11">
        <f>IFERROR(VALUE(MID(H11,FIND("#",SUBSTITUTE(H11,".","#",3))+1,3)),-1)</f>
        <v/>
      </c>
      <c r="T11">
        <f>IFERROR(VALUE(MID(J11,FIND("#",SUBSTITUTE(J11,".","#",3))+1,3)),-1)</f>
        <v/>
      </c>
      <c r="U11">
        <f>IF(IFERROR(LEFT(H11,FIND("#",SUBSTITUTE(H11,".","#",3))),"")=IFERROR(LEFT(J11,FIND("#",SUBSTITUTE(J11,".","#",3))),""),1,0)</f>
        <v/>
      </c>
    </row>
    <row r="12">
      <c r="A12" s="15" t="inlineStr">
        <is>
          <t>NEW1</t>
        </is>
      </c>
      <c r="B12" s="19" t="n"/>
      <c r="C12" s="15">
        <f>SUMIF('В08 Пристрої'!$E$5:$E$25,A12,'В08 Пристрої'!$C$5:$C$25)</f>
        <v/>
      </c>
      <c r="D12" s="19" t="n"/>
      <c r="E12" s="19" t="n"/>
      <c r="F12" s="19" t="n"/>
      <c r="G12" s="19" t="n"/>
      <c r="H12" s="19" t="n"/>
      <c r="I12" s="19" t="n"/>
      <c r="J12" s="19" t="n"/>
      <c r="K12" s="15">
        <f>IF(OR(I12="",NOT(ISNUMBER(I12))),"",2^(32-I12)-2)</f>
        <v/>
      </c>
      <c r="L12" s="15">
        <f>IF(C12=0,"",IF(E12&lt;&gt;N12,"перерахуйте потрібну кількість адрес",IF(NOT(AND(ISNUMBER(F12),F12&gt;=2,F12&lt;=254,F12=INT(F12))),"VLAN — ціле число від 2 до 254",IF(COUNTIF($F$5:$F$13,F12)&gt;1,"VLAN повторюється",IF(SUMPRODUCT(($F$5:$F$13&lt;&gt;"")*(ABS($F$5:$F$13-F12)&lt;5))&gt;1,"між VLAN сусідніх зон проміжок менше 5",IF(AND($C$17&lt;&gt;"",$C$18&lt;&gt;"",F12&gt;=$C$17,F12&lt;=$C$18),"VLAN у зарезервованому діапазоні",IF(NOT(AND(ISNUMBER(I12),I12&gt;=24,I12&lt;=30)),"префікс — число від 24 до 30",IF(I12&gt;O12,"підмережа замала для потрібної кількості адрес",IF(OR(P12&lt;&gt;10,Q12&lt;&gt;'В08 Картка'!$B$5,R12&lt;&gt;F12),"мережа має бути 10.A.&lt;VLAN&gt;.x",IF(MOD(S12,2^(32-I12))&lt;&gt;0,"адреса мережі не на межі підмережі",IF(OR(U12&lt;&gt;1,T12&lt;&gt;IF(ISNUMBER(SEARCH("остання",'В08 Картка'!$B$6)),S12+2^(32-I12)-2,S12+1)),"шлюз не за правилом варіанта","ОК")))))))))))</f>
        <v/>
      </c>
      <c r="N12">
        <f>IF(C12=0,0,ROUNDUP(ROUND(C12*(1+D12/100),6),0)+1)</f>
        <v/>
      </c>
      <c r="O12">
        <f>IF(N12=0,"",32-MAX(2,ROUNDUP(LOG(N12+2,2)-0.000001,0)))</f>
        <v/>
      </c>
      <c r="P12">
        <f>IFERROR(VALUE(LEFT(H12,FIND(".",H12)-1)),-1)</f>
        <v/>
      </c>
      <c r="Q12">
        <f>IFERROR(VALUE(MID(H12,FIND(".",H12)+1,FIND("#",SUBSTITUTE(H12,".","#",2))-FIND(".",H12)-1)),-1)</f>
        <v/>
      </c>
      <c r="R12">
        <f>IFERROR(VALUE(MID(H12,FIND("#",SUBSTITUTE(H12,".","#",2))+1,FIND("#",SUBSTITUTE(H12,".","#",3))-FIND("#",SUBSTITUTE(H12,".","#",2))-1)),-1)</f>
        <v/>
      </c>
      <c r="S12">
        <f>IFERROR(VALUE(MID(H12,FIND("#",SUBSTITUTE(H12,".","#",3))+1,3)),-1)</f>
        <v/>
      </c>
      <c r="T12">
        <f>IFERROR(VALUE(MID(J12,FIND("#",SUBSTITUTE(J12,".","#",3))+1,3)),-1)</f>
        <v/>
      </c>
      <c r="U12">
        <f>IF(IFERROR(LEFT(H12,FIND("#",SUBSTITUTE(H12,".","#",3))),"")=IFERROR(LEFT(J12,FIND("#",SUBSTITUTE(J12,".","#",3))),""),1,0)</f>
        <v/>
      </c>
    </row>
    <row r="13">
      <c r="A13" s="15" t="inlineStr">
        <is>
          <t>NEW2</t>
        </is>
      </c>
      <c r="B13" s="19" t="n"/>
      <c r="C13" s="15">
        <f>SUMIF('В08 Пристрої'!$E$5:$E$25,A13,'В08 Пристрої'!$C$5:$C$25)</f>
        <v/>
      </c>
      <c r="D13" s="19" t="n"/>
      <c r="E13" s="19" t="n"/>
      <c r="F13" s="19" t="n"/>
      <c r="G13" s="19" t="n"/>
      <c r="H13" s="19" t="n"/>
      <c r="I13" s="19" t="n"/>
      <c r="J13" s="19" t="n"/>
      <c r="K13" s="15">
        <f>IF(OR(I13="",NOT(ISNUMBER(I13))),"",2^(32-I13)-2)</f>
        <v/>
      </c>
      <c r="L13" s="15">
        <f>IF(C13=0,"",IF(E13&lt;&gt;N13,"перерахуйте потрібну кількість адрес",IF(NOT(AND(ISNUMBER(F13),F13&gt;=2,F13&lt;=254,F13=INT(F13))),"VLAN — ціле число від 2 до 254",IF(COUNTIF($F$5:$F$13,F13)&gt;1,"VLAN повторюється",IF(SUMPRODUCT(($F$5:$F$13&lt;&gt;"")*(ABS($F$5:$F$13-F13)&lt;5))&gt;1,"між VLAN сусідніх зон проміжок менше 5",IF(AND($C$17&lt;&gt;"",$C$18&lt;&gt;"",F13&gt;=$C$17,F13&lt;=$C$18),"VLAN у зарезервованому діапазоні",IF(NOT(AND(ISNUMBER(I13),I13&gt;=24,I13&lt;=30)),"префікс — число від 24 до 30",IF(I13&gt;O13,"підмережа замала для потрібної кількості адрес",IF(OR(P13&lt;&gt;10,Q13&lt;&gt;'В08 Картка'!$B$5,R13&lt;&gt;F13),"мережа має бути 10.A.&lt;VLAN&gt;.x",IF(MOD(S13,2^(32-I13))&lt;&gt;0,"адреса мережі не на межі підмережі",IF(OR(U13&lt;&gt;1,T13&lt;&gt;IF(ISNUMBER(SEARCH("остання",'В08 Картка'!$B$6)),S13+2^(32-I13)-2,S13+1)),"шлюз не за правилом варіанта","ОК")))))))))))</f>
        <v/>
      </c>
      <c r="N13">
        <f>IF(C13=0,0,ROUNDUP(ROUND(C13*(1+D13/100),6),0)+1)</f>
        <v/>
      </c>
      <c r="O13">
        <f>IF(N13=0,"",32-MAX(2,ROUNDUP(LOG(N13+2,2)-0.000001,0)))</f>
        <v/>
      </c>
      <c r="P13">
        <f>IFERROR(VALUE(LEFT(H13,FIND(".",H13)-1)),-1)</f>
        <v/>
      </c>
      <c r="Q13">
        <f>IFERROR(VALUE(MID(H13,FIND(".",H13)+1,FIND("#",SUBSTITUTE(H13,".","#",2))-FIND(".",H13)-1)),-1)</f>
        <v/>
      </c>
      <c r="R13">
        <f>IFERROR(VALUE(MID(H13,FIND("#",SUBSTITUTE(H13,".","#",2))+1,FIND("#",SUBSTITUTE(H13,".","#",3))-FIND("#",SUBSTITUTE(H13,".","#",2))-1)),-1)</f>
        <v/>
      </c>
      <c r="S13">
        <f>IFERROR(VALUE(MID(H13,FIND("#",SUBSTITUTE(H13,".","#",3))+1,3)),-1)</f>
        <v/>
      </c>
      <c r="T13">
        <f>IFERROR(VALUE(MID(J13,FIND("#",SUBSTITUTE(J13,".","#",3))+1,3)),-1)</f>
        <v/>
      </c>
      <c r="U13">
        <f>IF(IFERROR(LEFT(H13,FIND("#",SUBSTITUTE(H13,".","#",3))),"")=IFERROR(LEFT(J13,FIND("#",SUBSTITUTE(J13,".","#",3))),""),1,0)</f>
        <v/>
      </c>
    </row>
    <row r="16">
      <c r="B16" s="12" t="inlineStr">
        <is>
          <t>Обмеження головного офісу (заповніть лише якщо воно є в «Новій обставині»)</t>
        </is>
      </c>
    </row>
    <row r="17">
      <c r="B17" s="6" t="inlineStr">
        <is>
          <t>Зарезервовані VLAN: від</t>
        </is>
      </c>
      <c r="C17" s="19" t="n"/>
    </row>
    <row r="18">
      <c r="B18" s="6" t="inlineStr">
        <is>
          <t>Зарезервовані VLAN: до</t>
        </is>
      </c>
      <c r="C18" s="19" t="n"/>
    </row>
    <row r="20" ht="25.5" customHeight="1" s="21">
      <c r="B20" s="6" t="inlineStr">
        <is>
          <t>Native VLAN (власний номер)</t>
        </is>
      </c>
      <c r="C20" s="19" t="n">
        <v>250</v>
      </c>
      <c r="L20" s="15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L5:L13">
    <cfRule type="expression" priority="1" dxfId="1">
      <formula>L5="ОК"</formula>
    </cfRule>
    <cfRule type="expression" priority="2" dxfId="0">
      <formula>AND(L5&lt;&gt;"",L5&lt;&gt;"ОК")</formula>
    </cfRule>
  </conditionalFormatting>
  <conditionalFormatting sqref="L20">
    <cfRule type="expression" priority="3" dxfId="1">
      <formula>L20="ОК"</formula>
    </cfRule>
    <cfRule type="expression" priority="4" dxfId="0">
      <formula>L20&lt;&gt;"ОК"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A7D7B"/>
    <outlinePr summaryBelow="1" summaryRight="1"/>
    <pageSetUpPr/>
  </sheetPr>
  <dimension ref="A1:B11"/>
  <sheetViews>
    <sheetView tabSelected="0" workbookViewId="0">
      <selection activeCell="A1" sqref="A1"/>
    </sheetView>
  </sheetViews>
  <sheetFormatPr baseColWidth="8" defaultRowHeight="15"/>
  <cols>
    <col width="66" customWidth="1" style="21" min="1" max="1"/>
    <col width="22" customWidth="1" style="21" min="2" max="2"/>
  </cols>
  <sheetData>
    <row r="1" ht="19.5" customHeight="1" s="21">
      <c r="A1" s="3" t="inlineStr">
        <is>
          <t>Підсумок і самоперевірка</t>
        </is>
      </c>
    </row>
    <row r="2">
      <c r="A2" s="4" t="inlineStr">
        <is>
          <t>Усе має бути нульовим перед здачею. Файл показує кількість, а не місце помилки: шукайте самі.</t>
        </is>
      </c>
    </row>
    <row r="4">
      <c r="A4" s="15" t="inlineStr">
        <is>
          <t>Усього пристроїв</t>
        </is>
      </c>
      <c r="B4" s="15">
        <f>SUM('В08 Пристрої'!C5:C25)</f>
        <v/>
      </c>
    </row>
    <row r="5">
      <c r="A5" s="15" t="inlineStr">
        <is>
          <t>Груп пристроїв без зони</t>
        </is>
      </c>
      <c r="B5" s="15">
        <f>COUNTIFS('В08 Пристрої'!C5:C25,"&gt;0",'В08 Пристрої'!E5:E25,"")</f>
        <v/>
      </c>
    </row>
    <row r="6">
      <c r="A6" s="15" t="inlineStr">
        <is>
          <t>Груп, де тип пристрою не відповідає зоні</t>
        </is>
      </c>
      <c r="B6" s="15">
        <f>COUNTIF('В08 Пристрої'!F5:F25,"тип*")</f>
        <v/>
      </c>
    </row>
    <row r="7">
      <c r="A7" s="15" t="inlineStr">
        <is>
          <t>Зон із помилкою в адресній таблиці</t>
        </is>
      </c>
      <c r="B7" s="15">
        <f>COUNTIFS('В08 Зони й адреси'!L5:L13,"&lt;&gt;ОК",'В08 Зони й адреси'!C5:C13,"&gt;0")</f>
        <v/>
      </c>
    </row>
    <row r="8">
      <c r="A8" s="15" t="inlineStr">
        <is>
          <t>Помилка native VLAN (1 — є)</t>
        </is>
      </c>
      <c r="B8" s="15">
        <f>IF('В08 Зони й адреси'!L20="ОК",0,1)</f>
        <v/>
      </c>
    </row>
    <row r="9">
      <c r="A9" s="15" t="inlineStr">
        <is>
          <t>Особливих пристроїв без пояснення вибору</t>
        </is>
      </c>
      <c r="B9" s="15">
        <f>MAX(0,COUNTIF('В08 Пристрої'!D5:D25,"потребує рішення")-COUNTA('В08 Обґрунтування'!C5:C12))</f>
        <v/>
      </c>
    </row>
    <row r="10">
      <c r="A10" s="15" t="inlineStr">
        <is>
          <t>Знайдено помилок у чернетці колеги (з 3)</t>
        </is>
      </c>
      <c r="B10" s="15">
        <f>COUNTA('В08 Чернетка колеги'!A15:A17)</f>
        <v/>
      </c>
    </row>
    <row r="11">
      <c r="A11" s="15" t="inlineStr">
        <is>
          <t>Висновок</t>
        </is>
      </c>
      <c r="B11" s="15">
        <f>IF(AND(B5=0,B6=0,B7=0,B8=0,B9=0,B10&gt;=3),"Можна здавати","Є що виправити")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B11">
    <cfRule type="expression" priority="1" dxfId="1">
      <formula>B11="Можна здавати"</formula>
    </cfRule>
    <cfRule type="expression" priority="2" dxfId="0">
      <formula>B11&lt;&gt;"Можна здавати"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A7D7B"/>
    <outlinePr summaryBelow="1" summaryRight="1"/>
    <pageSetUpPr/>
  </sheetPr>
  <dimension ref="A1:C23"/>
  <sheetViews>
    <sheetView tabSelected="0" workbookViewId="0">
      <selection activeCell="A1" sqref="A1"/>
    </sheetView>
  </sheetViews>
  <sheetFormatPr baseColWidth="8" defaultRowHeight="15"/>
  <cols>
    <col width="40" customWidth="1" style="21" min="1" max="1"/>
    <col width="14" customWidth="1" style="21" min="2" max="2"/>
    <col width="100" customWidth="1" style="21" min="3" max="3"/>
  </cols>
  <sheetData>
    <row r="1" ht="19.5" customHeight="1" s="21">
      <c r="A1" s="3" t="inlineStr">
        <is>
          <t>Обґрунтування</t>
        </is>
      </c>
    </row>
    <row r="2">
      <c r="A2" s="4" t="inlineStr">
        <is>
          <t>Своїми словами. Для особливих пристроїв: яку зону обрали і що було б, якби пристрій поклали в іншу.</t>
        </is>
      </c>
    </row>
    <row r="4" ht="30" customHeight="1" s="21">
      <c r="A4" s="20" t="inlineStr">
        <is>
          <t>Пристрій, що потребував рішення</t>
        </is>
      </c>
      <c r="B4" s="20" t="inlineStr">
        <is>
          <t>Зона</t>
        </is>
      </c>
      <c r="C4" s="20" t="inlineStr">
        <is>
          <t>Чому саме так (2–3 речення)</t>
        </is>
      </c>
    </row>
    <row r="5" ht="25.5" customHeight="1" s="21">
      <c r="A5" s="15" t="inlineStr">
        <is>
          <t>Мережевий сейф з електронним замком і сигналізацією</t>
        </is>
      </c>
      <c r="B5" s="19" t="inlineStr">
        <is>
          <t>IOT</t>
        </is>
      </c>
      <c r="C5" s="19" t="inlineStr">
        <is>
          <t>Сейф — пристрій без користувача, як замки й датчики, тож кладу його в IoT. У зоні касирів він був би доступний з будь-якого ПК каси, а в гостьовій — узагалі з Інтернету; в IoT доступ до нього дає лише ACL із MGMT.</t>
        </is>
      </c>
    </row>
    <row r="6" ht="25.5" customHeight="1" s="21">
      <c r="A6" s="15" t="inlineStr">
        <is>
          <t>Ноутбуки підрядників, що налаштовують обладнання</t>
        </is>
      </c>
      <c r="B6" s="19" t="inlineStr">
        <is>
          <t>GUEST</t>
        </is>
      </c>
      <c r="C6" s="19" t="inlineStr">
        <is>
          <t>Ноутбуки підрядників — чужі пристрої, яким банк не довіряє, тому вони в гостьовій зоні. Якби поклали в MGMT, чужий ноутбук мав би прямий доступ до всіх комутаторів; налаштування — лише через станцію адміністратора під наглядом.</t>
        </is>
      </c>
    </row>
    <row r="7">
      <c r="A7" s="19" t="n"/>
      <c r="B7" s="19" t="n"/>
      <c r="C7" s="19" t="n"/>
    </row>
    <row r="8">
      <c r="A8" s="19" t="n"/>
      <c r="B8" s="19" t="n"/>
      <c r="C8" s="19" t="n"/>
    </row>
    <row r="9">
      <c r="A9" s="19" t="n"/>
      <c r="B9" s="19" t="n"/>
      <c r="C9" s="19" t="n"/>
    </row>
    <row r="10">
      <c r="A10" s="19" t="n"/>
      <c r="B10" s="19" t="n"/>
      <c r="C10" s="19" t="n"/>
    </row>
    <row r="11">
      <c r="A11" s="19" t="n"/>
      <c r="B11" s="19" t="n"/>
      <c r="C11" s="19" t="n"/>
    </row>
    <row r="12">
      <c r="A12" s="19" t="n"/>
      <c r="B12" s="19" t="n"/>
      <c r="C12" s="19" t="n"/>
    </row>
    <row r="15">
      <c r="A15" s="26" t="inlineStr">
        <is>
          <t>Як ви нумерували VLAN і чому схема лишиться зрозумілою через рік?</t>
        </is>
      </c>
    </row>
    <row r="16" ht="39.95" customHeight="1" s="21">
      <c r="A16" s="19" t="inlineStr">
        <is>
          <t>VLAN кратні 10: 10–40 — робочі зони з грошима й даними, 50 — пристрої без користувача, 90 — гості (в кінці, найменш довірена), 100 — керування. Третій октет = VLAN, тож з адреси одразу видно зону; між номерами 10 вільних — нову зону (напр., 60) можна додати без перенумерації. Native VLAN 250 не використовує жодна зона.</t>
        </is>
      </c>
      <c r="B16" s="27" t="n"/>
      <c r="C16" s="28" t="n"/>
    </row>
    <row r="17">
      <c r="A17" s="29" t="n"/>
      <c r="B17" s="30" t="n"/>
      <c r="C17" s="31" t="n"/>
    </row>
    <row r="18">
      <c r="A18" s="26" t="inlineStr">
        <is>
          <t>Нова обставина: що змінилось (було → стало) і чому решту зон ви не чіпали?</t>
        </is>
      </c>
    </row>
    <row r="19" ht="39.95" customHeight="1" s="21">
      <c r="A19" s="19" t="inlineStr">
        <is>
          <t>КРОК 4 НЕ ВИКОНАНО: файл «ПР_3_Нова_обставина_Варіант_08» видає викладач після кроків 1–3; рядки NEW1/NEW2, обмеження ГО і слайд 2 заповнюються після його отримання.</t>
        </is>
      </c>
      <c r="B19" s="27" t="n"/>
      <c r="C19" s="28" t="n"/>
    </row>
    <row r="20">
      <c r="A20" s="29" t="n"/>
      <c r="B20" s="30" t="n"/>
      <c r="C20" s="31" t="n"/>
    </row>
    <row r="21">
      <c r="A21" s="26" t="inlineStr">
        <is>
          <t>Що ви знайшли під час самоперевірки й виправили до здачі?</t>
        </is>
      </c>
    </row>
    <row r="22" ht="39.95" customHeight="1" s="21">
      <c r="A22" s="19" t="inlineStr">
        <is>
          <t>Порівняв свій розрахунок адрес із чернеткою колеги — кількості збіглися (IoT 36, гості 104), отже особливі пристрої розкладено так само. Перевірив вирівнювання кожної мережі за префіксом і шлюз .14/.6/.62/.126 (остання корисна).</t>
        </is>
      </c>
      <c r="B22" s="27" t="n"/>
      <c r="C22" s="28" t="n"/>
    </row>
    <row r="23">
      <c r="A23" s="29" t="n"/>
      <c r="B23" s="30" t="n"/>
      <c r="C23" s="3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6">
    <mergeCell ref="A16:C17"/>
    <mergeCell ref="A19:C20"/>
    <mergeCell ref="A18:C18"/>
    <mergeCell ref="A22:C23"/>
    <mergeCell ref="A21:C2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2026-10-20T08:52:22Z</dcterms:created>
  <dcterms:modified xmlns:dcterms="http://purl.org/dc/terms/" xmlns:xsi="http://www.w3.org/2001/XMLSchema-instance" xsi:type="dcterms:W3CDTF">2026-10-24T10:33:49Z</dcterms:modified>
  <cp:lastModifiedBy>X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0x010100515EA09E6D44F04384841D5FBD71E5CF</vt:lpwstr>
  </property>
</Properties>
</file>