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міст" sheetId="1" state="visible" r:id="rId1"/>
    <sheet xmlns:r="http://schemas.openxmlformats.org/officeDocument/2006/relationships" name="В01 Інструкція" sheetId="2" state="visible" r:id="rId2"/>
    <sheet xmlns:r="http://schemas.openxmlformats.org/officeDocument/2006/relationships" name="В01 Картка" sheetId="3" state="visible" r:id="rId3"/>
    <sheet xmlns:r="http://schemas.openxmlformats.org/officeDocument/2006/relationships" name="В01 Каталог" sheetId="4" state="visible" r:id="rId4"/>
    <sheet xmlns:r="http://schemas.openxmlformats.org/officeDocument/2006/relationships" name="В01 Чернетка колеги" sheetId="5" state="visible" r:id="rId5"/>
    <sheet xmlns:r="http://schemas.openxmlformats.org/officeDocument/2006/relationships" name="В01 Загрози і заходи" sheetId="6" state="visible" r:id="rId6"/>
    <sheet xmlns:r="http://schemas.openxmlformats.org/officeDocument/2006/relationships" name="В01 Підсумок" sheetId="7" state="visible" r:id="rId7"/>
    <sheet xmlns:r="http://schemas.openxmlformats.org/officeDocument/2006/relationships" name="В01 Обґрунтування" sheetId="8" state="visible" r:id="rId8"/>
    <sheet xmlns:r="http://schemas.openxmlformats.org/officeDocument/2006/relationships" name="В02 Інструкція" sheetId="9" state="visible" r:id="rId9"/>
    <sheet xmlns:r="http://schemas.openxmlformats.org/officeDocument/2006/relationships" name="В02 Картка" sheetId="10" state="visible" r:id="rId10"/>
    <sheet xmlns:r="http://schemas.openxmlformats.org/officeDocument/2006/relationships" name="В02 Каталог" sheetId="11" state="visible" r:id="rId11"/>
    <sheet xmlns:r="http://schemas.openxmlformats.org/officeDocument/2006/relationships" name="В02 Чернетка колеги" sheetId="12" state="visible" r:id="rId12"/>
    <sheet xmlns:r="http://schemas.openxmlformats.org/officeDocument/2006/relationships" name="В02 Загрози і заходи" sheetId="13" state="visible" r:id="rId13"/>
    <sheet xmlns:r="http://schemas.openxmlformats.org/officeDocument/2006/relationships" name="В02 Підсумок" sheetId="14" state="visible" r:id="rId14"/>
    <sheet xmlns:r="http://schemas.openxmlformats.org/officeDocument/2006/relationships" name="В02 Обґрунтування" sheetId="15" state="visible" r:id="rId15"/>
    <sheet xmlns:r="http://schemas.openxmlformats.org/officeDocument/2006/relationships" name="В03 Інструкція" sheetId="16" state="visible" r:id="rId16"/>
    <sheet xmlns:r="http://schemas.openxmlformats.org/officeDocument/2006/relationships" name="В03 Картка" sheetId="17" state="visible" r:id="rId17"/>
    <sheet xmlns:r="http://schemas.openxmlformats.org/officeDocument/2006/relationships" name="В03 Каталог" sheetId="18" state="visible" r:id="rId18"/>
    <sheet xmlns:r="http://schemas.openxmlformats.org/officeDocument/2006/relationships" name="В03 Чернетка колеги" sheetId="19" state="visible" r:id="rId19"/>
    <sheet xmlns:r="http://schemas.openxmlformats.org/officeDocument/2006/relationships" name="В03 Загрози і заходи" sheetId="20" state="visible" r:id="rId20"/>
    <sheet xmlns:r="http://schemas.openxmlformats.org/officeDocument/2006/relationships" name="В03 Підсумок" sheetId="21" state="visible" r:id="rId21"/>
    <sheet xmlns:r="http://schemas.openxmlformats.org/officeDocument/2006/relationships" name="В03 Обґрунтування" sheetId="22" state="visible" r:id="rId22"/>
    <sheet xmlns:r="http://schemas.openxmlformats.org/officeDocument/2006/relationships" name="В04 Інструкція" sheetId="23" state="visible" r:id="rId23"/>
    <sheet xmlns:r="http://schemas.openxmlformats.org/officeDocument/2006/relationships" name="В04 Картка" sheetId="24" state="visible" r:id="rId24"/>
    <sheet xmlns:r="http://schemas.openxmlformats.org/officeDocument/2006/relationships" name="В04 Каталог" sheetId="25" state="visible" r:id="rId25"/>
    <sheet xmlns:r="http://schemas.openxmlformats.org/officeDocument/2006/relationships" name="В04 Чернетка колеги" sheetId="26" state="visible" r:id="rId26"/>
    <sheet xmlns:r="http://schemas.openxmlformats.org/officeDocument/2006/relationships" name="В04 Загрози і заходи" sheetId="27" state="visible" r:id="rId27"/>
    <sheet xmlns:r="http://schemas.openxmlformats.org/officeDocument/2006/relationships" name="В04 Підсумок" sheetId="28" state="visible" r:id="rId28"/>
    <sheet xmlns:r="http://schemas.openxmlformats.org/officeDocument/2006/relationships" name="В04 Обґрунтування" sheetId="29" state="visible" r:id="rId29"/>
    <sheet xmlns:r="http://schemas.openxmlformats.org/officeDocument/2006/relationships" name="В05 Інструкція" sheetId="30" state="visible" r:id="rId30"/>
    <sheet xmlns:r="http://schemas.openxmlformats.org/officeDocument/2006/relationships" name="В05 Картка" sheetId="31" state="visible" r:id="rId31"/>
    <sheet xmlns:r="http://schemas.openxmlformats.org/officeDocument/2006/relationships" name="В05 Каталог" sheetId="32" state="visible" r:id="rId32"/>
    <sheet xmlns:r="http://schemas.openxmlformats.org/officeDocument/2006/relationships" name="В05 Чернетка колеги" sheetId="33" state="visible" r:id="rId33"/>
    <sheet xmlns:r="http://schemas.openxmlformats.org/officeDocument/2006/relationships" name="В05 Загрози і заходи" sheetId="34" state="visible" r:id="rId34"/>
    <sheet xmlns:r="http://schemas.openxmlformats.org/officeDocument/2006/relationships" name="В05 Підсумок" sheetId="35" state="visible" r:id="rId35"/>
    <sheet xmlns:r="http://schemas.openxmlformats.org/officeDocument/2006/relationships" name="В05 Обґрунтування" sheetId="36" state="visible" r:id="rId36"/>
    <sheet xmlns:r="http://schemas.openxmlformats.org/officeDocument/2006/relationships" name="В06 Інструкція" sheetId="37" state="visible" r:id="rId37"/>
    <sheet xmlns:r="http://schemas.openxmlformats.org/officeDocument/2006/relationships" name="В06 Картка" sheetId="38" state="visible" r:id="rId38"/>
    <sheet xmlns:r="http://schemas.openxmlformats.org/officeDocument/2006/relationships" name="В06 Каталог" sheetId="39" state="visible" r:id="rId39"/>
    <sheet xmlns:r="http://schemas.openxmlformats.org/officeDocument/2006/relationships" name="В06 Чернетка колеги" sheetId="40" state="visible" r:id="rId40"/>
    <sheet xmlns:r="http://schemas.openxmlformats.org/officeDocument/2006/relationships" name="В06 Загрози і заходи" sheetId="41" state="visible" r:id="rId41"/>
    <sheet xmlns:r="http://schemas.openxmlformats.org/officeDocument/2006/relationships" name="В06 Підсумок" sheetId="42" state="visible" r:id="rId42"/>
    <sheet xmlns:r="http://schemas.openxmlformats.org/officeDocument/2006/relationships" name="В06 Обґрунтування" sheetId="43" state="visible" r:id="rId43"/>
    <sheet xmlns:r="http://schemas.openxmlformats.org/officeDocument/2006/relationships" name="В07 Інструкція" sheetId="44" state="visible" r:id="rId44"/>
    <sheet xmlns:r="http://schemas.openxmlformats.org/officeDocument/2006/relationships" name="В07 Картка" sheetId="45" state="visible" r:id="rId45"/>
    <sheet xmlns:r="http://schemas.openxmlformats.org/officeDocument/2006/relationships" name="В07 Каталог" sheetId="46" state="visible" r:id="rId46"/>
    <sheet xmlns:r="http://schemas.openxmlformats.org/officeDocument/2006/relationships" name="В07 Чернетка колеги" sheetId="47" state="visible" r:id="rId47"/>
    <sheet xmlns:r="http://schemas.openxmlformats.org/officeDocument/2006/relationships" name="В07 Загрози і заходи" sheetId="48" state="visible" r:id="rId48"/>
    <sheet xmlns:r="http://schemas.openxmlformats.org/officeDocument/2006/relationships" name="В07 Підсумок" sheetId="49" state="visible" r:id="rId49"/>
    <sheet xmlns:r="http://schemas.openxmlformats.org/officeDocument/2006/relationships" name="В07 Обґрунтування" sheetId="50" state="visible" r:id="rId50"/>
    <sheet xmlns:r="http://schemas.openxmlformats.org/officeDocument/2006/relationships" name="В08 Інструкція" sheetId="51" state="visible" r:id="rId51"/>
    <sheet xmlns:r="http://schemas.openxmlformats.org/officeDocument/2006/relationships" name="В08 Картка" sheetId="52" state="visible" r:id="rId52"/>
    <sheet xmlns:r="http://schemas.openxmlformats.org/officeDocument/2006/relationships" name="В08 Каталог" sheetId="53" state="visible" r:id="rId53"/>
    <sheet xmlns:r="http://schemas.openxmlformats.org/officeDocument/2006/relationships" name="В08 Чернетка колеги" sheetId="54" state="visible" r:id="rId54"/>
    <sheet xmlns:r="http://schemas.openxmlformats.org/officeDocument/2006/relationships" name="В08 Загрози і заходи" sheetId="55" state="visible" r:id="rId55"/>
    <sheet xmlns:r="http://schemas.openxmlformats.org/officeDocument/2006/relationships" name="В08 Підсумок" sheetId="56" state="visible" r:id="rId56"/>
    <sheet xmlns:r="http://schemas.openxmlformats.org/officeDocument/2006/relationships" name="В08 Обґрунтування" sheetId="57" state="visible" r:id="rId57"/>
    <sheet xmlns:r="http://schemas.openxmlformats.org/officeDocument/2006/relationships" name="В09 Інструкція" sheetId="58" state="visible" r:id="rId58"/>
    <sheet xmlns:r="http://schemas.openxmlformats.org/officeDocument/2006/relationships" name="В09 Картка" sheetId="59" state="visible" r:id="rId59"/>
    <sheet xmlns:r="http://schemas.openxmlformats.org/officeDocument/2006/relationships" name="В09 Каталог" sheetId="60" state="visible" r:id="rId60"/>
    <sheet xmlns:r="http://schemas.openxmlformats.org/officeDocument/2006/relationships" name="В09 Чернетка колеги" sheetId="61" state="visible" r:id="rId61"/>
    <sheet xmlns:r="http://schemas.openxmlformats.org/officeDocument/2006/relationships" name="В09 Загрози і заходи" sheetId="62" state="visible" r:id="rId62"/>
    <sheet xmlns:r="http://schemas.openxmlformats.org/officeDocument/2006/relationships" name="В09 Підсумок" sheetId="63" state="visible" r:id="rId63"/>
    <sheet xmlns:r="http://schemas.openxmlformats.org/officeDocument/2006/relationships" name="В09 Обґрунтування" sheetId="64" state="visible" r:id="rId64"/>
    <sheet xmlns:r="http://schemas.openxmlformats.org/officeDocument/2006/relationships" name="В10 Інструкція" sheetId="65" state="visible" r:id="rId65"/>
    <sheet xmlns:r="http://schemas.openxmlformats.org/officeDocument/2006/relationships" name="В10 Картка" sheetId="66" state="visible" r:id="rId66"/>
    <sheet xmlns:r="http://schemas.openxmlformats.org/officeDocument/2006/relationships" name="В10 Каталог" sheetId="67" state="visible" r:id="rId67"/>
    <sheet xmlns:r="http://schemas.openxmlformats.org/officeDocument/2006/relationships" name="В10 Чернетка колеги" sheetId="68" state="visible" r:id="rId68"/>
    <sheet xmlns:r="http://schemas.openxmlformats.org/officeDocument/2006/relationships" name="В10 Загрози і заходи" sheetId="69" state="visible" r:id="rId69"/>
    <sheet xmlns:r="http://schemas.openxmlformats.org/officeDocument/2006/relationships" name="В10 Підсумок" sheetId="70" state="visible" r:id="rId70"/>
    <sheet xmlns:r="http://schemas.openxmlformats.org/officeDocument/2006/relationships" name="В10 Обґрунтування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595959"/>
      <sz val="10"/>
    </font>
    <font>
      <name val="Calibri"/>
      <b val="1"/>
      <color rgb="001F3864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2"/>
    </font>
    <font>
      <name val="Calibri"/>
      <i val="1"/>
      <sz val="10"/>
    </font>
    <font>
      <name val="Calibri"/>
      <b val="1"/>
      <color rgb="00FFFFFF"/>
      <sz val="11"/>
    </font>
    <font>
      <b val="1"/>
      <color rgb="001F3864"/>
      <sz val="15"/>
    </font>
    <font>
      <i val="1"/>
      <color rgb="00595959"/>
      <sz val="10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1" applyAlignment="1" applyProtection="1" pivotButton="0" quotePrefix="0" xfId="0">
      <alignment vertical="top" wrapText="1"/>
      <protection locked="0" hidden="0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top" wrapText="1"/>
      <protection locked="0" hidden="0"/>
    </xf>
    <xf numFmtId="0" fontId="4" fillId="3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C00000"/>
      </font>
    </dxf>
    <dxf>
      <fill>
        <patternFill patternType="solid">
          <fgColor rgb="00FF7C80"/>
          <bgColor rgb="00FF7C80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0B4"/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/xl/worksheets/sheet26.xml"/><Relationship Id="rId21" Type="http://schemas.openxmlformats.org/officeDocument/2006/relationships/worksheet" Target="/xl/worksheets/sheet21.xml"/><Relationship Id="rId42" Type="http://schemas.openxmlformats.org/officeDocument/2006/relationships/worksheet" Target="/xl/worksheets/sheet42.xml"/><Relationship Id="rId47" Type="http://schemas.openxmlformats.org/officeDocument/2006/relationships/worksheet" Target="/xl/worksheets/sheet47.xml"/><Relationship Id="rId63" Type="http://schemas.openxmlformats.org/officeDocument/2006/relationships/worksheet" Target="/xl/worksheets/sheet63.xml"/><Relationship Id="rId68" Type="http://schemas.openxmlformats.org/officeDocument/2006/relationships/worksheet" Target="/xl/worksheets/sheet68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9" Type="http://schemas.openxmlformats.org/officeDocument/2006/relationships/worksheet" Target="/xl/worksheets/sheet29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worksheet" Target="/xl/worksheets/sheet37.xml"/><Relationship Id="rId40" Type="http://schemas.openxmlformats.org/officeDocument/2006/relationships/worksheet" Target="/xl/worksheets/sheet40.xml"/><Relationship Id="rId45" Type="http://schemas.openxmlformats.org/officeDocument/2006/relationships/worksheet" Target="/xl/worksheets/sheet45.xml"/><Relationship Id="rId53" Type="http://schemas.openxmlformats.org/officeDocument/2006/relationships/worksheet" Target="/xl/worksheets/sheet53.xml"/><Relationship Id="rId58" Type="http://schemas.openxmlformats.org/officeDocument/2006/relationships/worksheet" Target="/xl/worksheets/sheet58.xml"/><Relationship Id="rId66" Type="http://schemas.openxmlformats.org/officeDocument/2006/relationships/worksheet" Target="/xl/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61" Type="http://schemas.openxmlformats.org/officeDocument/2006/relationships/worksheet" Target="/xl/worksheets/sheet61.xml"/><Relationship Id="rId19" Type="http://schemas.openxmlformats.org/officeDocument/2006/relationships/worksheet" Target="/xl/worksheets/sheet1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43" Type="http://schemas.openxmlformats.org/officeDocument/2006/relationships/worksheet" Target="/xl/worksheets/sheet43.xml"/><Relationship Id="rId48" Type="http://schemas.openxmlformats.org/officeDocument/2006/relationships/worksheet" Target="/xl/worksheets/sheet48.xml"/><Relationship Id="rId56" Type="http://schemas.openxmlformats.org/officeDocument/2006/relationships/worksheet" Target="/xl/worksheets/sheet56.xml"/><Relationship Id="rId64" Type="http://schemas.openxmlformats.org/officeDocument/2006/relationships/worksheet" Target="/xl/worksheets/sheet64.xml"/><Relationship Id="rId69" Type="http://schemas.openxmlformats.org/officeDocument/2006/relationships/worksheet" Target="/xl/worksheets/sheet69.xml"/><Relationship Id="rId8" Type="http://schemas.openxmlformats.org/officeDocument/2006/relationships/worksheet" Target="/xl/worksheets/sheet8.xml"/><Relationship Id="rId51" Type="http://schemas.openxmlformats.org/officeDocument/2006/relationships/worksheet" Target="/xl/worksheets/sheet51.xml"/><Relationship Id="rId72" Type="http://schemas.openxmlformats.org/officeDocument/2006/relationships/styles" Target="styles.xml"/><Relationship Id="rId3" Type="http://schemas.openxmlformats.org/officeDocument/2006/relationships/worksheet" Target="/xl/worksheets/sheet3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worksheet" Target="/xl/worksheets/sheet38.xml"/><Relationship Id="rId46" Type="http://schemas.openxmlformats.org/officeDocument/2006/relationships/worksheet" Target="/xl/worksheets/sheet46.xml"/><Relationship Id="rId59" Type="http://schemas.openxmlformats.org/officeDocument/2006/relationships/worksheet" Target="/xl/worksheets/sheet59.xml"/><Relationship Id="rId67" Type="http://schemas.openxmlformats.org/officeDocument/2006/relationships/worksheet" Target="/xl/worksheets/sheet67.xml"/><Relationship Id="rId20" Type="http://schemas.openxmlformats.org/officeDocument/2006/relationships/worksheet" Target="/xl/worksheets/sheet20.xml"/><Relationship Id="rId41" Type="http://schemas.openxmlformats.org/officeDocument/2006/relationships/worksheet" Target="/xl/worksheets/sheet41.xml"/><Relationship Id="rId54" Type="http://schemas.openxmlformats.org/officeDocument/2006/relationships/worksheet" Target="/xl/worksheets/sheet54.xml"/><Relationship Id="rId62" Type="http://schemas.openxmlformats.org/officeDocument/2006/relationships/worksheet" Target="/xl/worksheets/sheet62.xml"/><Relationship Id="rId70" Type="http://schemas.openxmlformats.org/officeDocument/2006/relationships/worksheet" Target="/xl/worksheets/sheet70.xml"/><Relationship Id="rId75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worksheet" Target="/xl/worksheets/sheet36.xml"/><Relationship Id="rId49" Type="http://schemas.openxmlformats.org/officeDocument/2006/relationships/worksheet" Target="/xl/worksheets/sheet49.xml"/><Relationship Id="rId57" Type="http://schemas.openxmlformats.org/officeDocument/2006/relationships/worksheet" Target="/xl/worksheets/sheet57.xml"/><Relationship Id="rId10" Type="http://schemas.openxmlformats.org/officeDocument/2006/relationships/worksheet" Target="/xl/worksheets/sheet10.xml"/><Relationship Id="rId31" Type="http://schemas.openxmlformats.org/officeDocument/2006/relationships/worksheet" Target="/xl/worksheets/sheet31.xml"/><Relationship Id="rId44" Type="http://schemas.openxmlformats.org/officeDocument/2006/relationships/worksheet" Target="/xl/worksheets/sheet44.xml"/><Relationship Id="rId52" Type="http://schemas.openxmlformats.org/officeDocument/2006/relationships/worksheet" Target="/xl/worksheets/sheet52.xml"/><Relationship Id="rId60" Type="http://schemas.openxmlformats.org/officeDocument/2006/relationships/worksheet" Target="/xl/worksheets/sheet60.xml"/><Relationship Id="rId65" Type="http://schemas.openxmlformats.org/officeDocument/2006/relationships/worksheet" Target="/xl/worksheets/sheet65.xml"/><Relationship Id="rId73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9" Type="http://schemas.openxmlformats.org/officeDocument/2006/relationships/worksheet" Target="/xl/worksheets/sheet39.xml"/><Relationship Id="rId34" Type="http://schemas.openxmlformats.org/officeDocument/2006/relationships/worksheet" Target="/xl/worksheets/sheet34.xml"/><Relationship Id="rId50" Type="http://schemas.openxmlformats.org/officeDocument/2006/relationships/worksheet" Target="/xl/worksheets/sheet50.xml"/><Relationship Id="rId55" Type="http://schemas.openxmlformats.org/officeDocument/2006/relationships/worksheet" Target="/xl/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71" Type="http://schemas.openxmlformats.org/officeDocument/2006/relationships/worksheet" Target="/xl/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2;01 &#1030;&#1085;&#1089;&#1090;&#1088;&#1091;&#1082;&#1094;&#1110;&#1103;'!A1" TargetMode="External" Id="rId1"/><Relationship Type="http://schemas.openxmlformats.org/officeDocument/2006/relationships/hyperlink" Target="#'&#1042;02 &#1030;&#1085;&#1089;&#1090;&#1088;&#1091;&#1082;&#1094;&#1110;&#1103;'!A1" TargetMode="External" Id="rId2"/><Relationship Type="http://schemas.openxmlformats.org/officeDocument/2006/relationships/hyperlink" Target="#'&#1042;03 &#1030;&#1085;&#1089;&#1090;&#1088;&#1091;&#1082;&#1094;&#1110;&#1103;'!A1" TargetMode="External" Id="rId3"/><Relationship Type="http://schemas.openxmlformats.org/officeDocument/2006/relationships/hyperlink" Target="#'&#1042;04 &#1030;&#1085;&#1089;&#1090;&#1088;&#1091;&#1082;&#1094;&#1110;&#1103;'!A1" TargetMode="External" Id="rId4"/><Relationship Type="http://schemas.openxmlformats.org/officeDocument/2006/relationships/hyperlink" Target="#'&#1042;05 &#1030;&#1085;&#1089;&#1090;&#1088;&#1091;&#1082;&#1094;&#1110;&#1103;'!A1" TargetMode="External" Id="rId5"/><Relationship Type="http://schemas.openxmlformats.org/officeDocument/2006/relationships/hyperlink" Target="#'&#1042;06 &#1030;&#1085;&#1089;&#1090;&#1088;&#1091;&#1082;&#1094;&#1110;&#1103;'!A1" TargetMode="External" Id="rId6"/><Relationship Type="http://schemas.openxmlformats.org/officeDocument/2006/relationships/hyperlink" Target="#'&#1042;07 &#1030;&#1085;&#1089;&#1090;&#1088;&#1091;&#1082;&#1094;&#1110;&#1103;'!A1" TargetMode="External" Id="rId7"/><Relationship Type="http://schemas.openxmlformats.org/officeDocument/2006/relationships/hyperlink" Target="#'&#1042;08 &#1030;&#1085;&#1089;&#1090;&#1088;&#1091;&#1082;&#1094;&#1110;&#1103;'!A1" TargetMode="External" Id="rId8"/><Relationship Type="http://schemas.openxmlformats.org/officeDocument/2006/relationships/hyperlink" Target="#'&#1042;09 &#1030;&#1085;&#1089;&#1090;&#1088;&#1091;&#1082;&#1094;&#1110;&#1103;'!A1" TargetMode="External" Id="rId9"/><Relationship Type="http://schemas.openxmlformats.org/officeDocument/2006/relationships/hyperlink" Target="#'&#1042;10 &#1030;&#1085;&#1089;&#1090;&#1088;&#1091;&#1082;&#1094;&#1110;&#1103;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Усі варіанти в одному файлі</t>
        </is>
      </c>
    </row>
    <row r="2">
      <c r="A2" s="2" t="inlineStr">
        <is>
          <t>Кожен варіант має власні аркуші з префіксом «В01», «В02» тощо й свій колір вкладок. Натисніть на посилання, щоб перейти до варіанта.</t>
        </is>
      </c>
    </row>
    <row r="4">
      <c r="A4" s="3" t="inlineStr">
        <is>
          <t>Варіант</t>
        </is>
      </c>
      <c r="B4" s="3" t="inlineStr">
        <is>
          <t>Перехід</t>
        </is>
      </c>
    </row>
    <row r="5">
      <c r="A5" t="inlineStr">
        <is>
          <t>Варіант 01</t>
        </is>
      </c>
      <c r="B5" s="4" t="inlineStr">
        <is>
          <t>Відкрити аркуші варіанта 01</t>
        </is>
      </c>
    </row>
    <row r="6">
      <c r="A6" t="inlineStr">
        <is>
          <t>Варіант 02</t>
        </is>
      </c>
      <c r="B6" s="4" t="inlineStr">
        <is>
          <t>Відкрити аркуші варіанта 02</t>
        </is>
      </c>
    </row>
    <row r="7">
      <c r="A7" t="inlineStr">
        <is>
          <t>Варіант 03</t>
        </is>
      </c>
      <c r="B7" s="4" t="inlineStr">
        <is>
          <t>Відкрити аркуші варіанта 03</t>
        </is>
      </c>
    </row>
    <row r="8">
      <c r="A8" t="inlineStr">
        <is>
          <t>Варіант 04</t>
        </is>
      </c>
      <c r="B8" s="4" t="inlineStr">
        <is>
          <t>Відкрити аркуші варіанта 04</t>
        </is>
      </c>
    </row>
    <row r="9">
      <c r="A9" t="inlineStr">
        <is>
          <t>Варіант 05</t>
        </is>
      </c>
      <c r="B9" s="4" t="inlineStr">
        <is>
          <t>Відкрити аркуші варіанта 05</t>
        </is>
      </c>
    </row>
    <row r="10">
      <c r="A10" t="inlineStr">
        <is>
          <t>Варіант 06</t>
        </is>
      </c>
      <c r="B10" s="4" t="inlineStr">
        <is>
          <t>Відкрити аркуші варіанта 06</t>
        </is>
      </c>
    </row>
    <row r="11">
      <c r="A11" t="inlineStr">
        <is>
          <t>Варіант 07</t>
        </is>
      </c>
      <c r="B11" s="4" t="inlineStr">
        <is>
          <t>Відкрити аркуші варіанта 07</t>
        </is>
      </c>
    </row>
    <row r="12">
      <c r="A12" t="inlineStr">
        <is>
          <t>Варіант 08</t>
        </is>
      </c>
      <c r="B12" s="4" t="inlineStr">
        <is>
          <t>Відкрити аркуші варіанта 08</t>
        </is>
      </c>
    </row>
    <row r="13">
      <c r="A13" t="inlineStr">
        <is>
          <t>Варіант 09</t>
        </is>
      </c>
      <c r="B13" s="4" t="inlineStr">
        <is>
          <t>Відкрити аркуші варіанта 09</t>
        </is>
      </c>
    </row>
    <row r="14">
      <c r="A14" t="inlineStr">
        <is>
          <t>Варіант 10</t>
        </is>
      </c>
      <c r="B14" s="4" t="inlineStr">
        <is>
          <t>Відкрити аркуші варіанта 10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01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01</t>
        </is>
      </c>
    </row>
    <row r="2"/>
    <row r="3">
      <c r="A3" s="10" t="inlineStr">
        <is>
          <t>Студент (прізвище)</t>
        </is>
      </c>
      <c r="B3" s="11" t="n"/>
    </row>
    <row r="4">
      <c r="A4" s="10" t="inlineStr">
        <is>
          <t>Точка прийому</t>
        </is>
      </c>
      <c r="B4" s="12" t="inlineStr">
        <is>
          <t>вуличний банкомат</t>
        </is>
      </c>
    </row>
    <row r="5">
      <c r="A5" s="10" t="inlineStr">
        <is>
          <t>Підключення точки до мережі</t>
        </is>
      </c>
      <c r="B5" s="12" t="inlineStr">
        <is>
          <t>Ethernet-кабель, прокладений зовні будівлі</t>
        </is>
      </c>
    </row>
    <row r="6">
      <c r="A6" s="10" t="inlineStr">
        <is>
          <t>Зв'язок відділення зі шлюзом</t>
        </is>
      </c>
      <c r="B6" s="12" t="inlineStr">
        <is>
          <t>звичайний Інтернет без VPN</t>
        </is>
      </c>
    </row>
    <row r="7">
      <c r="A7" s="10" t="inlineStr">
        <is>
          <t>Особливий учасник</t>
        </is>
      </c>
      <c r="B7" s="12" t="inlineStr">
        <is>
          <t>підрядник інкасації: сервісний доступ до банкомата (замки, сервісний порт)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0"/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n"/>
      <c r="C13" s="15">
        <f>A13&amp;". "&amp;B13</f>
        <v/>
      </c>
    </row>
    <row r="14">
      <c r="A14" s="15" t="inlineStr">
        <is>
          <t>M2</t>
        </is>
      </c>
      <c r="B14" s="11" t="n"/>
      <c r="C14" s="15">
        <f>A14&amp;". "&amp;B14</f>
        <v/>
      </c>
    </row>
    <row r="15">
      <c r="A15" s="15" t="inlineStr">
        <is>
          <t>M3</t>
        </is>
      </c>
      <c r="B15" s="11" t="n"/>
      <c r="C15" s="15">
        <f>A15&amp;". "&amp;B15</f>
        <v/>
      </c>
    </row>
    <row r="16">
      <c r="A16" s="15" t="inlineStr">
        <is>
          <t>M4</t>
        </is>
      </c>
      <c r="B16" s="11" t="n"/>
      <c r="C16" s="15">
        <f>A16&amp;". "&amp;B16</f>
        <v/>
      </c>
    </row>
    <row r="17">
      <c r="A17" s="15" t="inlineStr">
        <is>
          <t>M5</t>
        </is>
      </c>
      <c r="B17" s="11" t="n"/>
      <c r="C17" s="15">
        <f>A17&amp;". "&amp;B17</f>
        <v/>
      </c>
    </row>
    <row r="18">
      <c r="A18" s="15" t="inlineStr">
        <is>
          <t>M6</t>
        </is>
      </c>
      <c r="B18" s="11" t="n"/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3"/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3"/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M4</t>
        </is>
      </c>
      <c r="C5" s="15" t="inlineStr">
        <is>
          <t>T — зміна даних</t>
        </is>
      </c>
      <c r="D5" s="15" t="inlineStr">
        <is>
          <t>Перехоплення платіжного трафіку в каналі: зловмисник читає передані дані</t>
        </is>
      </c>
      <c r="E5" s="15" t="inlineStr">
        <is>
          <t>мережева</t>
        </is>
      </c>
      <c r="F5" s="15" t="n">
        <v>3</v>
      </c>
      <c r="G5" s="15" t="inlineStr">
        <is>
          <t>ЛР7. IPsec VPN між відділенням і головним офісом</t>
        </is>
      </c>
    </row>
    <row r="6">
      <c r="A6" s="15" t="n">
        <v>2</v>
      </c>
      <c r="B6" s="15" t="inlineStr">
        <is>
          <t>M1</t>
        </is>
      </c>
      <c r="C6" s="15" t="inlineStr">
        <is>
          <t>T — зміна даних</t>
        </is>
      </c>
      <c r="D6" s="15" t="inlineStr">
        <is>
          <t>Скімер на вуличного банкомата: копіює дані картки</t>
        </is>
      </c>
      <c r="E6" s="15" t="inlineStr">
        <is>
          <t>фізична</t>
        </is>
      </c>
      <c r="F6" s="15" t="n">
        <v>3</v>
      </c>
      <c r="G6" s="15" t="inlineStr">
        <is>
          <t>ЛР1. Сегментація VLAN і маршрутизація між ними</t>
        </is>
      </c>
    </row>
    <row r="7">
      <c r="A7" s="15" t="n">
        <v>3</v>
      </c>
      <c r="B7" s="15" t="inlineStr">
        <is>
          <t>M5</t>
        </is>
      </c>
      <c r="C7" s="15" t="inlineStr">
        <is>
          <t>R — відмова від дій</t>
        </is>
      </c>
      <c r="D7" s="15" t="inlineStr">
        <is>
          <t>Шлюз не зберігає журнал: після шахрайства неможливо відновити послідовність подій</t>
        </is>
      </c>
      <c r="E7" s="15" t="inlineStr">
        <is>
          <t>мережева</t>
        </is>
      </c>
      <c r="F7" s="15" t="n">
        <v>2</v>
      </c>
      <c r="G7" s="15" t="inlineStr">
        <is>
          <t>ЛР10. Syslog, NTP і моніторинг (лише виявляє)</t>
        </is>
      </c>
    </row>
    <row r="8">
      <c r="A8" s="15" t="n">
        <v>4</v>
      </c>
      <c r="B8" s="15" t="inlineStr">
        <is>
          <t>M1</t>
        </is>
      </c>
      <c r="C8" s="15" t="inlineStr">
        <is>
          <t>R — відмова від дій</t>
        </is>
      </c>
      <c r="D8" s="15" t="inlineStr">
        <is>
          <t>Клієнт заперечує операцію, а повного журналу з точним часом немає</t>
        </is>
      </c>
      <c r="E8" s="15" t="inlineStr">
        <is>
          <t>організаційна</t>
        </is>
      </c>
      <c r="F8" s="15" t="n">
        <v>2</v>
      </c>
      <c r="G8" s="15" t="inlineStr">
        <is>
          <t>ЛР10. Syslog, NTP і моніторинг (лише виявляє)</t>
        </is>
      </c>
    </row>
    <row r="9">
      <c r="A9" s="15" t="n">
        <v>5</v>
      </c>
      <c r="B9" s="15" t="inlineStr">
        <is>
          <t>M2</t>
        </is>
      </c>
      <c r="C9" s="15" t="inlineStr">
        <is>
          <t>T — зміна даних</t>
        </is>
      </c>
      <c r="D9" s="15" t="inlineStr">
        <is>
          <t>Підробний DHCP-сервер видає терміналу чужий шлюз і перехоплює платіжний трафік</t>
        </is>
      </c>
      <c r="E9" s="15" t="inlineStr">
        <is>
          <t>мережева</t>
        </is>
      </c>
      <c r="F9" s="15" t="n">
        <v>2</v>
      </c>
      <c r="G9" s="15" t="inlineStr">
        <is>
          <t>ЛР3. DHCP Snooping</t>
        </is>
      </c>
    </row>
    <row r="10">
      <c r="A10" s="15" t="n">
        <v>6</v>
      </c>
      <c r="B10" s="15" t="inlineStr">
        <is>
          <t>M3</t>
        </is>
      </c>
      <c r="C10" s="15" t="inlineStr">
        <is>
          <t>T — зміна даних</t>
        </is>
      </c>
      <c r="D10" s="15" t="inlineStr">
        <is>
          <t>Встановити IPsec VPN і міжмережевий екран між відділенням і шлюзом</t>
        </is>
      </c>
      <c r="E10" s="15" t="inlineStr">
        <is>
          <t>мережева</t>
        </is>
      </c>
      <c r="F10" s="15" t="n">
        <v>3</v>
      </c>
      <c r="G10" s="15" t="inlineStr">
        <is>
          <t>ЛР7. IPsec VPN між відділенням і головним офісом</t>
        </is>
      </c>
    </row>
    <row r="11">
      <c r="A11" s="15" t="n">
        <v>7</v>
      </c>
      <c r="B11" s="15" t="inlineStr">
        <is>
          <t>M5</t>
        </is>
      </c>
      <c r="C11" s="15" t="inlineStr">
        <is>
          <t>S — підміна</t>
        </is>
      </c>
      <c r="D11" s="15" t="inlineStr">
        <is>
          <t>Підроблений запит до АБС від зламаного шлюзу чи від ПК відділення</t>
        </is>
      </c>
      <c r="E11" s="15" t="inlineStr">
        <is>
          <t>мережева</t>
        </is>
      </c>
      <c r="F11" s="15" t="n">
        <v>3</v>
      </c>
      <c r="G11" s="15" t="inlineStr">
        <is>
          <t>ЛР5. Міжмережевий екран ASA: зони й NAT</t>
        </is>
      </c>
    </row>
    <row r="12"/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n"/>
      <c r="B15" s="11" t="n"/>
      <c r="C15" s="11" t="n"/>
      <c r="D15" s="19" t="n"/>
      <c r="E15" s="19" t="n"/>
      <c r="F15" s="19" t="n"/>
      <c r="G15" s="20" t="n"/>
    </row>
    <row r="16">
      <c r="A16" s="11" t="n"/>
      <c r="B16" s="11" t="n"/>
      <c r="C16" s="11" t="n"/>
      <c r="D16" s="19" t="n"/>
      <c r="E16" s="19" t="n"/>
      <c r="F16" s="19" t="n"/>
      <c r="G16" s="20" t="n"/>
    </row>
    <row r="17">
      <c r="A17" s="11" t="n"/>
      <c r="B17" s="11" t="n"/>
      <c r="C17" s="11" t="n"/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O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3"/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n"/>
      <c r="C5" s="11" t="n"/>
      <c r="D5" s="21" t="n"/>
      <c r="E5" s="11" t="n"/>
      <c r="F5" s="21" t="n"/>
      <c r="G5" s="21" t="n"/>
      <c r="H5" s="11" t="n"/>
      <c r="I5" s="21" t="n"/>
      <c r="J5" s="11" t="n"/>
      <c r="K5" s="11" t="n"/>
      <c r="L5" s="15">
        <f>IF(I5&lt;&gt;"Так","",IF(J5="","Оберіть захід",IF(K5="","Вкажіть, де в мережі",IF(D5="","Оберіть літеру STRIDE",IF(F5="","Вкажіть природу",IF(AND(INDEX('В01 Каталог'!$C$5:$C$19,MATCH(J5,'В01 Каталог'!$B$5:$B$19,0))="Лабораторна",F5="фізична",INDEX('В01 Каталог'!$A$5:$A$19,MATCH(J5,'В01 Каталог'!$B$5:$B$19,0))&lt;&gt;"L10"),"Мережевий захід не закриває фізичну загрозу",IF(AND(INDEX('В01 Каталог'!$C$5:$C$19,MATCH(J5,'В01 Каталог'!$B$5:$B$19,0))="Лабораторна",ISERROR(SEARCH(LEFT(D5,1),INDEX('В01 Каталог'!$D$5:$D$19,MATCH(J5,'В01 Каталог'!$B$5:$B$19,0))))),"Захід не діє на цей тип загрози",IF(AND(INDEX('В01 Каталог'!$C$5:$C$19,MATCH(J5,'В01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IF(J5="","",IFERROR(INDEX('В01 Каталог'!$E$5:$E$19,MATCH(J5,'В01 Каталог'!$B$5:$B$19,0)),""))</f>
        <v/>
      </c>
      <c r="N5" s="22">
        <f>IF(J5="","",IFERROR(INDEX('В01 Каталог'!$C$5:$C$19,MATCH(J5,'В01 Каталог'!$B$5:$B$19,0)),""))</f>
        <v/>
      </c>
      <c r="O5" s="21" t="n"/>
    </row>
    <row r="6">
      <c r="A6" s="15" t="n">
        <v>2</v>
      </c>
      <c r="B6" s="11" t="n"/>
      <c r="C6" s="11" t="n"/>
      <c r="D6" s="21" t="n"/>
      <c r="E6" s="11" t="n"/>
      <c r="F6" s="21" t="n"/>
      <c r="G6" s="21" t="n"/>
      <c r="H6" s="11" t="n"/>
      <c r="I6" s="21" t="n"/>
      <c r="J6" s="11" t="n"/>
      <c r="K6" s="11" t="n"/>
      <c r="L6" s="15">
        <f>IF(I6&lt;&gt;"Так","",IF(J6="","Оберіть захід",IF(K6="","Вкажіть, де в мережі",IF(D6="","Оберіть літеру STRIDE",IF(F6="","Вкажіть природу",IF(AND(INDEX('В01 Каталог'!$C$5:$C$19,MATCH(J6,'В01 Каталог'!$B$5:$B$19,0))="Лабораторна",F6="фізична",INDEX('В01 Каталог'!$A$5:$A$19,MATCH(J6,'В01 Каталог'!$B$5:$B$19,0))&lt;&gt;"L10"),"Мережевий захід не закриває фізичну загрозу",IF(AND(INDEX('В01 Каталог'!$C$5:$C$19,MATCH(J6,'В01 Каталог'!$B$5:$B$19,0))="Лабораторна",ISERROR(SEARCH(LEFT(D6,1),INDEX('В01 Каталог'!$D$5:$D$19,MATCH(J6,'В01 Каталог'!$B$5:$B$19,0))))),"Захід не діє на цей тип загрози",IF(AND(INDEX('В01 Каталог'!$C$5:$C$19,MATCH(J6,'В01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IF(J6="","",IFERROR(INDEX('В01 Каталог'!$E$5:$E$19,MATCH(J6,'В01 Каталог'!$B$5:$B$19,0)),""))</f>
        <v/>
      </c>
      <c r="N6" s="22">
        <f>IF(J6="","",IFERROR(INDEX('В01 Каталог'!$C$5:$C$19,MATCH(J6,'В01 Каталог'!$B$5:$B$19,0)),""))</f>
        <v/>
      </c>
      <c r="O6" s="21" t="n"/>
    </row>
    <row r="7">
      <c r="A7" s="15" t="n">
        <v>3</v>
      </c>
      <c r="B7" s="11" t="n"/>
      <c r="C7" s="11" t="n"/>
      <c r="D7" s="21" t="n"/>
      <c r="E7" s="11" t="n"/>
      <c r="F7" s="21" t="n"/>
      <c r="G7" s="21" t="n"/>
      <c r="H7" s="11" t="n"/>
      <c r="I7" s="21" t="n"/>
      <c r="J7" s="11" t="n"/>
      <c r="K7" s="11" t="n"/>
      <c r="L7" s="15">
        <f>IF(I7&lt;&gt;"Так","",IF(J7="","Оберіть захід",IF(K7="","Вкажіть, де в мережі",IF(D7="","Оберіть літеру STRIDE",IF(F7="","Вкажіть природу",IF(AND(INDEX('В01 Каталог'!$C$5:$C$19,MATCH(J7,'В01 Каталог'!$B$5:$B$19,0))="Лабораторна",F7="фізична",INDEX('В01 Каталог'!$A$5:$A$19,MATCH(J7,'В01 Каталог'!$B$5:$B$19,0))&lt;&gt;"L10"),"Мережевий захід не закриває фізичну загрозу",IF(AND(INDEX('В01 Каталог'!$C$5:$C$19,MATCH(J7,'В01 Каталог'!$B$5:$B$19,0))="Лабораторна",ISERROR(SEARCH(LEFT(D7,1),INDEX('В01 Каталог'!$D$5:$D$19,MATCH(J7,'В01 Каталог'!$B$5:$B$19,0))))),"Захід не діє на цей тип загрози",IF(AND(INDEX('В01 Каталог'!$C$5:$C$19,MATCH(J7,'В01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IF(J7="","",IFERROR(INDEX('В01 Каталог'!$E$5:$E$19,MATCH(J7,'В01 Каталог'!$B$5:$B$19,0)),""))</f>
        <v/>
      </c>
      <c r="N7" s="22">
        <f>IF(J7="","",IFERROR(INDEX('В01 Каталог'!$C$5:$C$19,MATCH(J7,'В01 Каталог'!$B$5:$B$19,0)),""))</f>
        <v/>
      </c>
      <c r="O7" s="21" t="n"/>
    </row>
    <row r="8">
      <c r="A8" s="15" t="n">
        <v>4</v>
      </c>
      <c r="B8" s="11" t="n"/>
      <c r="C8" s="11" t="n"/>
      <c r="D8" s="21" t="n"/>
      <c r="E8" s="11" t="n"/>
      <c r="F8" s="21" t="n"/>
      <c r="G8" s="21" t="n"/>
      <c r="H8" s="11" t="n"/>
      <c r="I8" s="21" t="n"/>
      <c r="J8" s="11" t="n"/>
      <c r="K8" s="11" t="n"/>
      <c r="L8" s="15">
        <f>IF(I8&lt;&gt;"Так","",IF(J8="","Оберіть захід",IF(K8="","Вкажіть, де в мережі",IF(D8="","Оберіть літеру STRIDE",IF(F8="","Вкажіть природу",IF(AND(INDEX('В01 Каталог'!$C$5:$C$19,MATCH(J8,'В01 Каталог'!$B$5:$B$19,0))="Лабораторна",F8="фізична",INDEX('В01 Каталог'!$A$5:$A$19,MATCH(J8,'В01 Каталог'!$B$5:$B$19,0))&lt;&gt;"L10"),"Мережевий захід не закриває фізичну загрозу",IF(AND(INDEX('В01 Каталог'!$C$5:$C$19,MATCH(J8,'В01 Каталог'!$B$5:$B$19,0))="Лабораторна",ISERROR(SEARCH(LEFT(D8,1),INDEX('В01 Каталог'!$D$5:$D$19,MATCH(J8,'В01 Каталог'!$B$5:$B$19,0))))),"Захід не діє на цей тип загрози",IF(AND(INDEX('В01 Каталог'!$C$5:$C$19,MATCH(J8,'В01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IF(J8="","",IFERROR(INDEX('В01 Каталог'!$E$5:$E$19,MATCH(J8,'В01 Каталог'!$B$5:$B$19,0)),""))</f>
        <v/>
      </c>
      <c r="N8" s="22">
        <f>IF(J8="","",IFERROR(INDEX('В01 Каталог'!$C$5:$C$19,MATCH(J8,'В01 Каталог'!$B$5:$B$19,0)),""))</f>
        <v/>
      </c>
      <c r="O8" s="21" t="n"/>
    </row>
    <row r="9">
      <c r="A9" s="15" t="n">
        <v>5</v>
      </c>
      <c r="B9" s="11" t="n"/>
      <c r="C9" s="11" t="n"/>
      <c r="D9" s="21" t="n"/>
      <c r="E9" s="11" t="n"/>
      <c r="F9" s="21" t="n"/>
      <c r="G9" s="21" t="n"/>
      <c r="H9" s="11" t="n"/>
      <c r="I9" s="21" t="n"/>
      <c r="J9" s="11" t="n"/>
      <c r="K9" s="11" t="n"/>
      <c r="L9" s="15">
        <f>IF(I9&lt;&gt;"Так","",IF(J9="","Оберіть захід",IF(K9="","Вкажіть, де в мережі",IF(D9="","Оберіть літеру STRIDE",IF(F9="","Вкажіть природу",IF(AND(INDEX('В01 Каталог'!$C$5:$C$19,MATCH(J9,'В01 Каталог'!$B$5:$B$19,0))="Лабораторна",F9="фізична",INDEX('В01 Каталог'!$A$5:$A$19,MATCH(J9,'В01 Каталог'!$B$5:$B$19,0))&lt;&gt;"L10"),"Мережевий захід не закриває фізичну загрозу",IF(AND(INDEX('В01 Каталог'!$C$5:$C$19,MATCH(J9,'В01 Каталог'!$B$5:$B$19,0))="Лабораторна",ISERROR(SEARCH(LEFT(D9,1),INDEX('В01 Каталог'!$D$5:$D$19,MATCH(J9,'В01 Каталог'!$B$5:$B$19,0))))),"Захід не діє на цей тип загрози",IF(AND(INDEX('В01 Каталог'!$C$5:$C$19,MATCH(J9,'В01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IF(J9="","",IFERROR(INDEX('В01 Каталог'!$E$5:$E$19,MATCH(J9,'В01 Каталог'!$B$5:$B$19,0)),""))</f>
        <v/>
      </c>
      <c r="N9" s="22">
        <f>IF(J9="","",IFERROR(INDEX('В01 Каталог'!$C$5:$C$19,MATCH(J9,'В01 Каталог'!$B$5:$B$19,0)),""))</f>
        <v/>
      </c>
      <c r="O9" s="21" t="n"/>
    </row>
    <row r="10">
      <c r="A10" s="15" t="n">
        <v>6</v>
      </c>
      <c r="B10" s="11" t="n"/>
      <c r="C10" s="11" t="n"/>
      <c r="D10" s="21" t="n"/>
      <c r="E10" s="11" t="n"/>
      <c r="F10" s="21" t="n"/>
      <c r="G10" s="21" t="n"/>
      <c r="H10" s="11" t="n"/>
      <c r="I10" s="21" t="n"/>
      <c r="J10" s="11" t="n"/>
      <c r="K10" s="11" t="n"/>
      <c r="L10" s="15">
        <f>IF(I10&lt;&gt;"Так","",IF(J10="","Оберіть захід",IF(K10="","Вкажіть, де в мережі",IF(D10="","Оберіть літеру STRIDE",IF(F10="","Вкажіть природу",IF(AND(INDEX('В01 Каталог'!$C$5:$C$19,MATCH(J10,'В01 Каталог'!$B$5:$B$19,0))="Лабораторна",F10="фізична",INDEX('В01 Каталог'!$A$5:$A$19,MATCH(J10,'В01 Каталог'!$B$5:$B$19,0))&lt;&gt;"L10"),"Мережевий захід не закриває фізичну загрозу",IF(AND(INDEX('В01 Каталог'!$C$5:$C$19,MATCH(J10,'В01 Каталог'!$B$5:$B$19,0))="Лабораторна",ISERROR(SEARCH(LEFT(D10,1),INDEX('В01 Каталог'!$D$5:$D$19,MATCH(J10,'В01 Каталог'!$B$5:$B$19,0))))),"Захід не діє на цей тип загрози",IF(AND(INDEX('В01 Каталог'!$C$5:$C$19,MATCH(J10,'В01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IF(J10="","",IFERROR(INDEX('В01 Каталог'!$E$5:$E$19,MATCH(J10,'В01 Каталог'!$B$5:$B$19,0)),""))</f>
        <v/>
      </c>
      <c r="N10" s="22">
        <f>IF(J10="","",IFERROR(INDEX('В01 Каталог'!$C$5:$C$19,MATCH(J10,'В01 Каталог'!$B$5:$B$19,0)),""))</f>
        <v/>
      </c>
      <c r="O10" s="21" t="n"/>
    </row>
    <row r="11">
      <c r="A11" s="15" t="n">
        <v>7</v>
      </c>
      <c r="B11" s="11" t="n"/>
      <c r="C11" s="11" t="n"/>
      <c r="D11" s="21" t="n"/>
      <c r="E11" s="11" t="n"/>
      <c r="F11" s="21" t="n"/>
      <c r="G11" s="21" t="n"/>
      <c r="H11" s="11" t="n"/>
      <c r="I11" s="21" t="n"/>
      <c r="J11" s="11" t="n"/>
      <c r="K11" s="11" t="n"/>
      <c r="L11" s="15">
        <f>IF(I11&lt;&gt;"Так","",IF(J11="","Оберіть захід",IF(K11="","Вкажіть, де в мережі",IF(D11="","Оберіть літеру STRIDE",IF(F11="","Вкажіть природу",IF(AND(INDEX('В01 Каталог'!$C$5:$C$19,MATCH(J11,'В01 Каталог'!$B$5:$B$19,0))="Лабораторна",F11="фізична",INDEX('В01 Каталог'!$A$5:$A$19,MATCH(J11,'В01 Каталог'!$B$5:$B$19,0))&lt;&gt;"L10"),"Мережевий захід не закриває фізичну загрозу",IF(AND(INDEX('В01 Каталог'!$C$5:$C$19,MATCH(J11,'В01 Каталог'!$B$5:$B$19,0))="Лабораторна",ISERROR(SEARCH(LEFT(D11,1),INDEX('В01 Каталог'!$D$5:$D$19,MATCH(J11,'В01 Каталог'!$B$5:$B$19,0))))),"Захід не діє на цей тип загрози",IF(AND(INDEX('В01 Каталог'!$C$5:$C$19,MATCH(J11,'В01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IF(J11="","",IFERROR(INDEX('В01 Каталог'!$E$5:$E$19,MATCH(J11,'В01 Каталог'!$B$5:$B$19,0)),""))</f>
        <v/>
      </c>
      <c r="N11" s="22">
        <f>IF(J11="","",IFERROR(INDEX('В01 Каталог'!$C$5:$C$19,MATCH(J11,'В01 Каталог'!$B$5:$B$19,0)),""))</f>
        <v/>
      </c>
      <c r="O11" s="21" t="n"/>
    </row>
    <row r="12">
      <c r="A12" s="15" t="n">
        <v>8</v>
      </c>
      <c r="B12" s="11" t="n"/>
      <c r="C12" s="11" t="n"/>
      <c r="D12" s="21" t="n"/>
      <c r="E12" s="11" t="n"/>
      <c r="F12" s="21" t="n"/>
      <c r="G12" s="21" t="n"/>
      <c r="H12" s="11" t="n"/>
      <c r="I12" s="21" t="n"/>
      <c r="J12" s="11" t="n"/>
      <c r="K12" s="11" t="n"/>
      <c r="L12" s="15">
        <f>IF(I12&lt;&gt;"Так","",IF(J12="","Оберіть захід",IF(K12="","Вкажіть, де в мережі",IF(D12="","Оберіть літеру STRIDE",IF(F12="","Вкажіть природу",IF(AND(INDEX('В01 Каталог'!$C$5:$C$19,MATCH(J12,'В01 Каталог'!$B$5:$B$19,0))="Лабораторна",F12="фізична",INDEX('В01 Каталог'!$A$5:$A$19,MATCH(J12,'В01 Каталог'!$B$5:$B$19,0))&lt;&gt;"L10"),"Мережевий захід не закриває фізичну загрозу",IF(AND(INDEX('В01 Каталог'!$C$5:$C$19,MATCH(J12,'В01 Каталог'!$B$5:$B$19,0))="Лабораторна",ISERROR(SEARCH(LEFT(D12,1),INDEX('В01 Каталог'!$D$5:$D$19,MATCH(J12,'В01 Каталог'!$B$5:$B$19,0))))),"Захід не діє на цей тип загрози",IF(AND(INDEX('В01 Каталог'!$C$5:$C$19,MATCH(J12,'В01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IF(J12="","",IFERROR(INDEX('В01 Каталог'!$E$5:$E$19,MATCH(J12,'В01 Каталог'!$B$5:$B$19,0)),""))</f>
        <v/>
      </c>
      <c r="N12" s="22">
        <f>IF(J12="","",IFERROR(INDEX('В01 Каталог'!$C$5:$C$19,MATCH(J12,'В01 Каталог'!$B$5:$B$19,0)),""))</f>
        <v/>
      </c>
      <c r="O12" s="21" t="n"/>
    </row>
    <row r="13">
      <c r="A13" s="15" t="n">
        <v>9</v>
      </c>
      <c r="B13" s="11" t="n"/>
      <c r="C13" s="11" t="n"/>
      <c r="D13" s="21" t="n"/>
      <c r="E13" s="11" t="n"/>
      <c r="F13" s="21" t="n"/>
      <c r="G13" s="21" t="n"/>
      <c r="H13" s="11" t="n"/>
      <c r="I13" s="21" t="n"/>
      <c r="J13" s="11" t="n"/>
      <c r="K13" s="11" t="n"/>
      <c r="L13" s="15">
        <f>IF(I13&lt;&gt;"Так","",IF(J13="","Оберіть захід",IF(K13="","Вкажіть, де в мережі",IF(D13="","Оберіть літеру STRIDE",IF(F13="","Вкажіть природу",IF(AND(INDEX('В01 Каталог'!$C$5:$C$19,MATCH(J13,'В01 Каталог'!$B$5:$B$19,0))="Лабораторна",F13="фізична",INDEX('В01 Каталог'!$A$5:$A$19,MATCH(J13,'В01 Каталог'!$B$5:$B$19,0))&lt;&gt;"L10"),"Мережевий захід не закриває фізичну загрозу",IF(AND(INDEX('В01 Каталог'!$C$5:$C$19,MATCH(J13,'В01 Каталог'!$B$5:$B$19,0))="Лабораторна",ISERROR(SEARCH(LEFT(D13,1),INDEX('В01 Каталог'!$D$5:$D$19,MATCH(J13,'В01 Каталог'!$B$5:$B$19,0))))),"Захід не діє на цей тип загрози",IF(AND(INDEX('В01 Каталог'!$C$5:$C$19,MATCH(J13,'В01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IF(J13="","",IFERROR(INDEX('В01 Каталог'!$E$5:$E$19,MATCH(J13,'В01 Каталог'!$B$5:$B$19,0)),""))</f>
        <v/>
      </c>
      <c r="N13" s="22">
        <f>IF(J13="","",IFERROR(INDEX('В01 Каталог'!$C$5:$C$19,MATCH(J13,'В01 Каталог'!$B$5:$B$19,0)),""))</f>
        <v/>
      </c>
      <c r="O13" s="21" t="n"/>
    </row>
    <row r="14">
      <c r="A14" s="15" t="n">
        <v>10</v>
      </c>
      <c r="B14" s="11" t="n"/>
      <c r="C14" s="11" t="n"/>
      <c r="D14" s="21" t="n"/>
      <c r="E14" s="11" t="n"/>
      <c r="F14" s="21" t="n"/>
      <c r="G14" s="21" t="n"/>
      <c r="H14" s="11" t="n"/>
      <c r="I14" s="21" t="n"/>
      <c r="J14" s="11" t="n"/>
      <c r="K14" s="11" t="n"/>
      <c r="L14" s="15">
        <f>IF(I14&lt;&gt;"Так","",IF(J14="","Оберіть захід",IF(K14="","Вкажіть, де в мережі",IF(D14="","Оберіть літеру STRIDE",IF(F14="","Вкажіть природу",IF(AND(INDEX('В01 Каталог'!$C$5:$C$19,MATCH(J14,'В01 Каталог'!$B$5:$B$19,0))="Лабораторна",F14="фізична",INDEX('В01 Каталог'!$A$5:$A$19,MATCH(J14,'В01 Каталог'!$B$5:$B$19,0))&lt;&gt;"L10"),"Мережевий захід не закриває фізичну загрозу",IF(AND(INDEX('В01 Каталог'!$C$5:$C$19,MATCH(J14,'В01 Каталог'!$B$5:$B$19,0))="Лабораторна",ISERROR(SEARCH(LEFT(D14,1),INDEX('В01 Каталог'!$D$5:$D$19,MATCH(J14,'В01 Каталог'!$B$5:$B$19,0))))),"Захід не діє на цей тип загрози",IF(AND(INDEX('В01 Каталог'!$C$5:$C$19,MATCH(J14,'В01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IF(J14="","",IFERROR(INDEX('В01 Каталог'!$E$5:$E$19,MATCH(J14,'В01 Каталог'!$B$5:$B$19,0)),""))</f>
        <v/>
      </c>
      <c r="N14" s="22">
        <f>IF(J14="","",IFERROR(INDEX('В01 Каталог'!$C$5:$C$19,MATCH(J14,'В01 Каталог'!$B$5:$B$19,0)),""))</f>
        <v/>
      </c>
      <c r="O14" s="21" t="n"/>
    </row>
    <row r="15">
      <c r="A15" s="15" t="n">
        <v>11</v>
      </c>
      <c r="B15" s="11" t="n"/>
      <c r="C15" s="11" t="n"/>
      <c r="D15" s="21" t="n"/>
      <c r="E15" s="11" t="n"/>
      <c r="F15" s="21" t="n"/>
      <c r="G15" s="21" t="n"/>
      <c r="H15" s="11" t="n"/>
      <c r="I15" s="21" t="n"/>
      <c r="J15" s="11" t="n"/>
      <c r="K15" s="11" t="n"/>
      <c r="L15" s="15">
        <f>IF(I15&lt;&gt;"Так","",IF(J15="","Оберіть захід",IF(K15="","Вкажіть, де в мережі",IF(D15="","Оберіть літеру STRIDE",IF(F15="","Вкажіть природу",IF(AND(INDEX('В01 Каталог'!$C$5:$C$19,MATCH(J15,'В01 Каталог'!$B$5:$B$19,0))="Лабораторна",F15="фізична",INDEX('В01 Каталог'!$A$5:$A$19,MATCH(J15,'В01 Каталог'!$B$5:$B$19,0))&lt;&gt;"L10"),"Мережевий захід не закриває фізичну загрозу",IF(AND(INDEX('В01 Каталог'!$C$5:$C$19,MATCH(J15,'В01 Каталог'!$B$5:$B$19,0))="Лабораторна",ISERROR(SEARCH(LEFT(D15,1),INDEX('В01 Каталог'!$D$5:$D$19,MATCH(J15,'В01 Каталог'!$B$5:$B$19,0))))),"Захід не діє на цей тип загрози",IF(AND(INDEX('В01 Каталог'!$C$5:$C$19,MATCH(J15,'В01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IF(J15="","",IFERROR(INDEX('В01 Каталог'!$E$5:$E$19,MATCH(J15,'В01 Каталог'!$B$5:$B$19,0)),""))</f>
        <v/>
      </c>
      <c r="N15" s="22">
        <f>IF(J15="","",IFERROR(INDEX('В01 Каталог'!$C$5:$C$19,MATCH(J15,'В01 Каталог'!$B$5:$B$19,0)),""))</f>
        <v/>
      </c>
      <c r="O15" s="21" t="n"/>
    </row>
    <row r="16">
      <c r="A16" s="15" t="n">
        <v>12</v>
      </c>
      <c r="B16" s="11" t="n"/>
      <c r="C16" s="11" t="n"/>
      <c r="D16" s="21" t="n"/>
      <c r="E16" s="11" t="n"/>
      <c r="F16" s="21" t="n"/>
      <c r="G16" s="21" t="n"/>
      <c r="H16" s="11" t="n"/>
      <c r="I16" s="21" t="n"/>
      <c r="J16" s="11" t="n"/>
      <c r="K16" s="11" t="n"/>
      <c r="L16" s="15">
        <f>IF(I16&lt;&gt;"Так","",IF(J16="","Оберіть захід",IF(K16="","Вкажіть, де в мережі",IF(D16="","Оберіть літеру STRIDE",IF(F16="","Вкажіть природу",IF(AND(INDEX('В01 Каталог'!$C$5:$C$19,MATCH(J16,'В01 Каталог'!$B$5:$B$19,0))="Лабораторна",F16="фізична",INDEX('В01 Каталог'!$A$5:$A$19,MATCH(J16,'В01 Каталог'!$B$5:$B$19,0))&lt;&gt;"L10"),"Мережевий захід не закриває фізичну загрозу",IF(AND(INDEX('В01 Каталог'!$C$5:$C$19,MATCH(J16,'В01 Каталог'!$B$5:$B$19,0))="Лабораторна",ISERROR(SEARCH(LEFT(D16,1),INDEX('В01 Каталог'!$D$5:$D$19,MATCH(J16,'В01 Каталог'!$B$5:$B$19,0))))),"Захід не діє на цей тип загрози",IF(AND(INDEX('В01 Каталог'!$C$5:$C$19,MATCH(J16,'В01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IF(J16="","",IFERROR(INDEX('В01 Каталог'!$E$5:$E$19,MATCH(J16,'В01 Каталог'!$B$5:$B$19,0)),""))</f>
        <v/>
      </c>
      <c r="N16" s="22">
        <f>IF(J16="","",IFERROR(INDEX('В01 Каталог'!$C$5:$C$19,MATCH(J16,'В01 Каталог'!$B$5:$B$19,0)),""))</f>
        <v/>
      </c>
      <c r="O16" s="21" t="n"/>
    </row>
    <row r="17">
      <c r="A17" s="15" t="n">
        <v>13</v>
      </c>
      <c r="B17" s="11" t="n"/>
      <c r="C17" s="11" t="n"/>
      <c r="D17" s="21" t="n"/>
      <c r="E17" s="11" t="n"/>
      <c r="F17" s="21" t="n"/>
      <c r="G17" s="21" t="n"/>
      <c r="H17" s="11" t="n"/>
      <c r="I17" s="21" t="n"/>
      <c r="J17" s="11" t="n"/>
      <c r="K17" s="11" t="n"/>
      <c r="L17" s="15">
        <f>IF(I17&lt;&gt;"Так","",IF(J17="","Оберіть захід",IF(K17="","Вкажіть, де в мережі",IF(D17="","Оберіть літеру STRIDE",IF(F17="","Вкажіть природу",IF(AND(INDEX('В01 Каталог'!$C$5:$C$19,MATCH(J17,'В01 Каталог'!$B$5:$B$19,0))="Лабораторна",F17="фізична",INDEX('В01 Каталог'!$A$5:$A$19,MATCH(J17,'В01 Каталог'!$B$5:$B$19,0))&lt;&gt;"L10"),"Мережевий захід не закриває фізичну загрозу",IF(AND(INDEX('В01 Каталог'!$C$5:$C$19,MATCH(J17,'В01 Каталог'!$B$5:$B$19,0))="Лабораторна",ISERROR(SEARCH(LEFT(D17,1),INDEX('В01 Каталог'!$D$5:$D$19,MATCH(J17,'В01 Каталог'!$B$5:$B$19,0))))),"Захід не діє на цей тип загрози",IF(AND(INDEX('В01 Каталог'!$C$5:$C$19,MATCH(J17,'В01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IF(J17="","",IFERROR(INDEX('В01 Каталог'!$E$5:$E$19,MATCH(J17,'В01 Каталог'!$B$5:$B$19,0)),""))</f>
        <v/>
      </c>
      <c r="N17" s="22">
        <f>IF(J17="","",IFERROR(INDEX('В01 Каталог'!$C$5:$C$19,MATCH(J17,'В01 Каталог'!$B$5:$B$19,0)),""))</f>
        <v/>
      </c>
      <c r="O17" s="21" t="n"/>
    </row>
    <row r="18">
      <c r="A18" s="15" t="n">
        <v>14</v>
      </c>
      <c r="B18" s="11" t="n"/>
      <c r="C18" s="11" t="n"/>
      <c r="D18" s="21" t="n"/>
      <c r="E18" s="11" t="n"/>
      <c r="F18" s="21" t="n"/>
      <c r="G18" s="21" t="n"/>
      <c r="H18" s="11" t="n"/>
      <c r="I18" s="21" t="n"/>
      <c r="J18" s="11" t="n"/>
      <c r="K18" s="11" t="n"/>
      <c r="L18" s="15">
        <f>IF(I18&lt;&gt;"Так","",IF(J18="","Оберіть захід",IF(K18="","Вкажіть, де в мережі",IF(D18="","Оберіть літеру STRIDE",IF(F18="","Вкажіть природу",IF(AND(INDEX('В01 Каталог'!$C$5:$C$19,MATCH(J18,'В01 Каталог'!$B$5:$B$19,0))="Лабораторна",F18="фізична",INDEX('В01 Каталог'!$A$5:$A$19,MATCH(J18,'В01 Каталог'!$B$5:$B$19,0))&lt;&gt;"L10"),"Мережевий захід не закриває фізичну загрозу",IF(AND(INDEX('В01 Каталог'!$C$5:$C$19,MATCH(J18,'В01 Каталог'!$B$5:$B$19,0))="Лабораторна",ISERROR(SEARCH(LEFT(D18,1),INDEX('В01 Каталог'!$D$5:$D$19,MATCH(J18,'В01 Каталог'!$B$5:$B$19,0))))),"Захід не діє на цей тип загрози",IF(AND(INDEX('В01 Каталог'!$C$5:$C$19,MATCH(J18,'В01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IF(J18="","",IFERROR(INDEX('В01 Каталог'!$E$5:$E$19,MATCH(J18,'В01 Каталог'!$B$5:$B$19,0)),""))</f>
        <v/>
      </c>
      <c r="N18" s="22">
        <f>IF(J18="","",IFERROR(INDEX('В01 Каталог'!$C$5:$C$19,MATCH(J18,'В01 Каталог'!$B$5:$B$19,0)),""))</f>
        <v/>
      </c>
      <c r="O18" s="21" t="n"/>
    </row>
    <row r="19">
      <c r="A19" s="15" t="n">
        <v>15</v>
      </c>
      <c r="B19" s="11" t="n"/>
      <c r="C19" s="11" t="n"/>
      <c r="D19" s="21" t="n"/>
      <c r="E19" s="11" t="n"/>
      <c r="F19" s="21" t="n"/>
      <c r="G19" s="21" t="n"/>
      <c r="H19" s="11" t="n"/>
      <c r="I19" s="21" t="n"/>
      <c r="J19" s="11" t="n"/>
      <c r="K19" s="11" t="n"/>
      <c r="L19" s="15">
        <f>IF(I19&lt;&gt;"Так","",IF(J19="","Оберіть захід",IF(K19="","Вкажіть, де в мережі",IF(D19="","Оберіть літеру STRIDE",IF(F19="","Вкажіть природу",IF(AND(INDEX('В01 Каталог'!$C$5:$C$19,MATCH(J19,'В01 Каталог'!$B$5:$B$19,0))="Лабораторна",F19="фізична",INDEX('В01 Каталог'!$A$5:$A$19,MATCH(J19,'В01 Каталог'!$B$5:$B$19,0))&lt;&gt;"L10"),"Мережевий захід не закриває фізичну загрозу",IF(AND(INDEX('В01 Каталог'!$C$5:$C$19,MATCH(J19,'В01 Каталог'!$B$5:$B$19,0))="Лабораторна",ISERROR(SEARCH(LEFT(D19,1),INDEX('В01 Каталог'!$D$5:$D$19,MATCH(J19,'В01 Каталог'!$B$5:$B$19,0))))),"Захід не діє на цей тип загрози",IF(AND(INDEX('В01 Каталог'!$C$5:$C$19,MATCH(J19,'В01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IF(J19="","",IFERROR(INDEX('В01 Каталог'!$E$5:$E$19,MATCH(J19,'В01 Каталог'!$B$5:$B$19,0)),""))</f>
        <v/>
      </c>
      <c r="N19" s="22">
        <f>IF(J19="","",IFERROR(INDEX('В01 Каталог'!$C$5:$C$19,MATCH(J19,'В01 Каталог'!$B$5:$B$19,0)),""))</f>
        <v/>
      </c>
      <c r="O19" s="21" t="n"/>
    </row>
    <row r="20">
      <c r="A20" s="15" t="n">
        <v>16</v>
      </c>
      <c r="B20" s="11" t="n"/>
      <c r="C20" s="11" t="n"/>
      <c r="D20" s="21" t="n"/>
      <c r="E20" s="11" t="n"/>
      <c r="F20" s="21" t="n"/>
      <c r="G20" s="21" t="n"/>
      <c r="H20" s="11" t="n"/>
      <c r="I20" s="21" t="n"/>
      <c r="J20" s="11" t="n"/>
      <c r="K20" s="11" t="n"/>
      <c r="L20" s="15">
        <f>IF(I20&lt;&gt;"Так","",IF(J20="","Оберіть захід",IF(K20="","Вкажіть, де в мережі",IF(D20="","Оберіть літеру STRIDE",IF(F20="","Вкажіть природу",IF(AND(INDEX('В01 Каталог'!$C$5:$C$19,MATCH(J20,'В01 Каталог'!$B$5:$B$19,0))="Лабораторна",F20="фізична",INDEX('В01 Каталог'!$A$5:$A$19,MATCH(J20,'В01 Каталог'!$B$5:$B$19,0))&lt;&gt;"L10"),"Мережевий захід не закриває фізичну загрозу",IF(AND(INDEX('В01 Каталог'!$C$5:$C$19,MATCH(J20,'В01 Каталог'!$B$5:$B$19,0))="Лабораторна",ISERROR(SEARCH(LEFT(D20,1),INDEX('В01 Каталог'!$D$5:$D$19,MATCH(J20,'В01 Каталог'!$B$5:$B$19,0))))),"Захід не діє на цей тип загрози",IF(AND(INDEX('В01 Каталог'!$C$5:$C$19,MATCH(J20,'В01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IF(J20="","",IFERROR(INDEX('В01 Каталог'!$E$5:$E$19,MATCH(J20,'В01 Каталог'!$B$5:$B$19,0)),""))</f>
        <v/>
      </c>
      <c r="N20" s="22">
        <f>IF(J20="","",IFERROR(INDEX('В01 Каталог'!$C$5:$C$19,MATCH(J20,'В01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природу",IF(AND(INDEX('В01 Каталог'!$C$5:$C$19,MATCH(J21,'В01 Каталог'!$B$5:$B$19,0))="Лабораторна",F21="фізична",INDEX('В01 Каталог'!$A$5:$A$19,MATCH(J21,'В01 Каталог'!$B$5:$B$19,0))&lt;&gt;"L10"),"Мережевий захід не закриває фізичну загрозу",IF(AND(INDEX('В01 Каталог'!$C$5:$C$19,MATCH(J21,'В01 Каталог'!$B$5:$B$19,0))="Лабораторна",ISERROR(SEARCH(LEFT(D21,1),INDEX('В01 Каталог'!$D$5:$D$19,MATCH(J21,'В01 Каталог'!$B$5:$B$19,0))))),"Захід не діє на цей тип загрози",IF(AND(INDEX('В01 Каталог'!$C$5:$C$19,MATCH(J21,'В01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IF(J21="","",IFERROR(INDEX('В01 Каталог'!$E$5:$E$19,MATCH(J21,'В01 Каталог'!$B$5:$B$19,0)),""))</f>
        <v/>
      </c>
      <c r="N21" s="22">
        <f>IF(J21="","",IFERROR(INDEX('В01 Каталог'!$C$5:$C$19,MATCH(J21,'В01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природу",IF(AND(INDEX('В01 Каталог'!$C$5:$C$19,MATCH(J22,'В01 Каталог'!$B$5:$B$19,0))="Лабораторна",F22="фізична",INDEX('В01 Каталог'!$A$5:$A$19,MATCH(J22,'В01 Каталог'!$B$5:$B$19,0))&lt;&gt;"L10"),"Мережевий захід не закриває фізичну загрозу",IF(AND(INDEX('В01 Каталог'!$C$5:$C$19,MATCH(J22,'В01 Каталог'!$B$5:$B$19,0))="Лабораторна",ISERROR(SEARCH(LEFT(D22,1),INDEX('В01 Каталог'!$D$5:$D$19,MATCH(J22,'В01 Каталог'!$B$5:$B$19,0))))),"Захід не діє на цей тип загрози",IF(AND(INDEX('В01 Каталог'!$C$5:$C$19,MATCH(J22,'В01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IF(J22="","",IFERROR(INDEX('В01 Каталог'!$E$5:$E$19,MATCH(J22,'В01 Каталог'!$B$5:$B$19,0)),""))</f>
        <v/>
      </c>
      <c r="N22" s="22">
        <f>IF(J22="","",IFERROR(INDEX('В01 Каталог'!$C$5:$C$19,MATCH(J22,'В01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природу",IF(AND(INDEX('В01 Каталог'!$C$5:$C$19,MATCH(J23,'В01 Каталог'!$B$5:$B$19,0))="Лабораторна",F23="фізична",INDEX('В01 Каталог'!$A$5:$A$19,MATCH(J23,'В01 Каталог'!$B$5:$B$19,0))&lt;&gt;"L10"),"Мережевий захід не закриває фізичну загрозу",IF(AND(INDEX('В01 Каталог'!$C$5:$C$19,MATCH(J23,'В01 Каталог'!$B$5:$B$19,0))="Лабораторна",ISERROR(SEARCH(LEFT(D23,1),INDEX('В01 Каталог'!$D$5:$D$19,MATCH(J23,'В01 Каталог'!$B$5:$B$19,0))))),"Захід не діє на цей тип загрози",IF(AND(INDEX('В01 Каталог'!$C$5:$C$19,MATCH(J23,'В01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IF(J23="","",IFERROR(INDEX('В01 Каталог'!$E$5:$E$19,MATCH(J23,'В01 Каталог'!$B$5:$B$19,0)),""))</f>
        <v/>
      </c>
      <c r="N23" s="22">
        <f>IF(J23="","",IFERROR(INDEX('В01 Каталог'!$C$5:$C$19,MATCH(J23,'В01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природу",IF(AND(INDEX('В01 Каталог'!$C$5:$C$19,MATCH(J24,'В01 Каталог'!$B$5:$B$19,0))="Лабораторна",F24="фізична",INDEX('В01 Каталог'!$A$5:$A$19,MATCH(J24,'В01 Каталог'!$B$5:$B$19,0))&lt;&gt;"L10"),"Мережевий захід не закриває фізичну загрозу",IF(AND(INDEX('В01 Каталог'!$C$5:$C$19,MATCH(J24,'В01 Каталог'!$B$5:$B$19,0))="Лабораторна",ISERROR(SEARCH(LEFT(D24,1),INDEX('В01 Каталог'!$D$5:$D$19,MATCH(J24,'В01 Каталог'!$B$5:$B$19,0))))),"Захід не діє на цей тип загрози",IF(AND(INDEX('В01 Каталог'!$C$5:$C$19,MATCH(J24,'В01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IF(J24="","",IFERROR(INDEX('В01 Каталог'!$E$5:$E$19,MATCH(J24,'В01 Каталог'!$B$5:$B$19,0)),""))</f>
        <v/>
      </c>
      <c r="N24" s="22">
        <f>IF(J24="","",IFERROR(INDEX('В01 Каталог'!$C$5:$C$19,MATCH(J24,'В01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природу",IF(AND(INDEX('В01 Каталог'!$C$5:$C$19,MATCH(J25,'В01 Каталог'!$B$5:$B$19,0))="Лабораторна",F25="фізична",INDEX('В01 Каталог'!$A$5:$A$19,MATCH(J25,'В01 Каталог'!$B$5:$B$19,0))&lt;&gt;"L10"),"Мережевий захід не закриває фізичну загрозу",IF(AND(INDEX('В01 Каталог'!$C$5:$C$19,MATCH(J25,'В01 Каталог'!$B$5:$B$19,0))="Лабораторна",ISERROR(SEARCH(LEFT(D25,1),INDEX('В01 Каталог'!$D$5:$D$19,MATCH(J25,'В01 Каталог'!$B$5:$B$19,0))))),"Захід не діє на цей тип загрози",IF(AND(INDEX('В01 Каталог'!$C$5:$C$19,MATCH(J25,'В01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IF(J25="","",IFERROR(INDEX('В01 Каталог'!$E$5:$E$19,MATCH(J25,'В01 Каталог'!$B$5:$B$19,0)),""))</f>
        <v/>
      </c>
      <c r="N25" s="22">
        <f>IF(J25="","",IFERROR(INDEX('В01 Каталог'!$C$5:$C$19,MATCH(J25,'В01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природу",IF(AND(INDEX('В01 Каталог'!$C$5:$C$19,MATCH(J26,'В01 Каталог'!$B$5:$B$19,0))="Лабораторна",F26="фізична",INDEX('В01 Каталог'!$A$5:$A$19,MATCH(J26,'В01 Каталог'!$B$5:$B$19,0))&lt;&gt;"L10"),"Мережевий захід не закриває фізичну загрозу",IF(AND(INDEX('В01 Каталог'!$C$5:$C$19,MATCH(J26,'В01 Каталог'!$B$5:$B$19,0))="Лабораторна",ISERROR(SEARCH(LEFT(D26,1),INDEX('В01 Каталог'!$D$5:$D$19,MATCH(J26,'В01 Каталог'!$B$5:$B$19,0))))),"Захід не діє на цей тип загрози",IF(AND(INDEX('В01 Каталог'!$C$5:$C$19,MATCH(J26,'В01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IF(J26="","",IFERROR(INDEX('В01 Каталог'!$E$5:$E$19,MATCH(J26,'В01 Каталог'!$B$5:$B$19,0)),""))</f>
        <v/>
      </c>
      <c r="N26" s="22">
        <f>IF(J26="","",IFERROR(INDEX('В01 Каталог'!$C$5:$C$19,MATCH(J26,'В01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природу",IF(AND(INDEX('В01 Каталог'!$C$5:$C$19,MATCH(J27,'В01 Каталог'!$B$5:$B$19,0))="Лабораторна",F27="фізична",INDEX('В01 Каталог'!$A$5:$A$19,MATCH(J27,'В01 Каталог'!$B$5:$B$19,0))&lt;&gt;"L10"),"Мережевий захід не закриває фізичну загрозу",IF(AND(INDEX('В01 Каталог'!$C$5:$C$19,MATCH(J27,'В01 Каталог'!$B$5:$B$19,0))="Лабораторна",ISERROR(SEARCH(LEFT(D27,1),INDEX('В01 Каталог'!$D$5:$D$19,MATCH(J27,'В01 Каталог'!$B$5:$B$19,0))))),"Захід не діє на цей тип загрози",IF(AND(INDEX('В01 Каталог'!$C$5:$C$19,MATCH(J27,'В01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IF(J27="","",IFERROR(INDEX('В01 Каталог'!$E$5:$E$19,MATCH(J27,'В01 Каталог'!$B$5:$B$19,0)),""))</f>
        <v/>
      </c>
      <c r="N27" s="22">
        <f>IF(J27="","",IFERROR(INDEX('В01 Каталог'!$C$5:$C$19,MATCH(J27,'В01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природу",IF(AND(INDEX('В01 Каталог'!$C$5:$C$19,MATCH(J28,'В01 Каталог'!$B$5:$B$19,0))="Лабораторна",F28="фізична",INDEX('В01 Каталог'!$A$5:$A$19,MATCH(J28,'В01 Каталог'!$B$5:$B$19,0))&lt;&gt;"L10"),"Мережевий захід не закриває фізичну загрозу",IF(AND(INDEX('В01 Каталог'!$C$5:$C$19,MATCH(J28,'В01 Каталог'!$B$5:$B$19,0))="Лабораторна",ISERROR(SEARCH(LEFT(D28,1),INDEX('В01 Каталог'!$D$5:$D$19,MATCH(J28,'В01 Каталог'!$B$5:$B$19,0))))),"Захід не діє на цей тип загрози",IF(AND(INDEX('В01 Каталог'!$C$5:$C$19,MATCH(J28,'В01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IF(J28="","",IFERROR(INDEX('В01 Каталог'!$E$5:$E$19,MATCH(J28,'В01 Каталог'!$B$5:$B$19,0)),""))</f>
        <v/>
      </c>
      <c r="N28" s="22">
        <f>IF(J28="","",IFERROR(INDEX('В01 Каталог'!$C$5:$C$19,MATCH(J28,'В01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природу",IF(AND(INDEX('В01 Каталог'!$C$5:$C$19,MATCH(J29,'В01 Каталог'!$B$5:$B$19,0))="Лабораторна",F29="фізична",INDEX('В01 Каталог'!$A$5:$A$19,MATCH(J29,'В01 Каталог'!$B$5:$B$19,0))&lt;&gt;"L10"),"Мережевий захід не закриває фізичну загрозу",IF(AND(INDEX('В01 Каталог'!$C$5:$C$19,MATCH(J29,'В01 Каталог'!$B$5:$B$19,0))="Лабораторна",ISERROR(SEARCH(LEFT(D29,1),INDEX('В01 Каталог'!$D$5:$D$19,MATCH(J29,'В01 Каталог'!$B$5:$B$19,0))))),"Захід не діє на цей тип загрози",IF(AND(INDEX('В01 Каталог'!$C$5:$C$19,MATCH(J29,'В01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IF(J29="","",IFERROR(INDEX('В01 Каталог'!$E$5:$E$19,MATCH(J29,'В01 Каталог'!$B$5:$B$19,0)),""))</f>
        <v/>
      </c>
      <c r="N29" s="22">
        <f>IF(J29="","",IFERROR(INDEX('В01 Каталог'!$C$5:$C$19,MATCH(J29,'В01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природу",IF(AND(INDEX('В01 Каталог'!$C$5:$C$19,MATCH(J30,'В01 Каталог'!$B$5:$B$19,0))="Лабораторна",F30="фізична",INDEX('В01 Каталог'!$A$5:$A$19,MATCH(J30,'В01 Каталог'!$B$5:$B$19,0))&lt;&gt;"L10"),"Мережевий захід не закриває фізичну загрозу",IF(AND(INDEX('В01 Каталог'!$C$5:$C$19,MATCH(J30,'В01 Каталог'!$B$5:$B$19,0))="Лабораторна",ISERROR(SEARCH(LEFT(D30,1),INDEX('В01 Каталог'!$D$5:$D$19,MATCH(J30,'В01 Каталог'!$B$5:$B$19,0))))),"Захід не діє на цей тип загрози",IF(AND(INDEX('В01 Каталог'!$C$5:$C$19,MATCH(J30,'В01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IF(J30="","",IFERROR(INDEX('В01 Каталог'!$E$5:$E$19,MATCH(J30,'В01 Каталог'!$B$5:$B$19,0)),""))</f>
        <v/>
      </c>
      <c r="N30" s="22">
        <f>IF(J30="","",IFERROR(INDEX('В01 Каталог'!$C$5:$C$19,MATCH(J30,'В01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природу",IF(AND(INDEX('В01 Каталог'!$C$5:$C$19,MATCH(J31,'В01 Каталог'!$B$5:$B$19,0))="Лабораторна",F31="фізична",INDEX('В01 Каталог'!$A$5:$A$19,MATCH(J31,'В01 Каталог'!$B$5:$B$19,0))&lt;&gt;"L10"),"Мережевий захід не закриває фізичну загрозу",IF(AND(INDEX('В01 Каталог'!$C$5:$C$19,MATCH(J31,'В01 Каталог'!$B$5:$B$19,0))="Лабораторна",ISERROR(SEARCH(LEFT(D31,1),INDEX('В01 Каталог'!$D$5:$D$19,MATCH(J31,'В01 Каталог'!$B$5:$B$19,0))))),"Захід не діє на цей тип загрози",IF(AND(INDEX('В01 Каталог'!$C$5:$C$19,MATCH(J31,'В01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IF(J31="","",IFERROR(INDEX('В01 Каталог'!$E$5:$E$19,MATCH(J31,'В01 Каталог'!$B$5:$B$19,0)),""))</f>
        <v/>
      </c>
      <c r="N31" s="22">
        <f>IF(J31="","",IFERROR(INDEX('В01 Каталог'!$C$5:$C$19,MATCH(J31,'В01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природу",IF(AND(INDEX('В01 Каталог'!$C$5:$C$19,MATCH(J32,'В01 Каталог'!$B$5:$B$19,0))="Лабораторна",F32="фізична",INDEX('В01 Каталог'!$A$5:$A$19,MATCH(J32,'В01 Каталог'!$B$5:$B$19,0))&lt;&gt;"L10"),"Мережевий захід не закриває фізичну загрозу",IF(AND(INDEX('В01 Каталог'!$C$5:$C$19,MATCH(J32,'В01 Каталог'!$B$5:$B$19,0))="Лабораторна",ISERROR(SEARCH(LEFT(D32,1),INDEX('В01 Каталог'!$D$5:$D$19,MATCH(J32,'В01 Каталог'!$B$5:$B$19,0))))),"Захід не діє на цей тип загрози",IF(AND(INDEX('В01 Каталог'!$C$5:$C$19,MATCH(J32,'В01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IF(J32="","",IFERROR(INDEX('В01 Каталог'!$E$5:$E$19,MATCH(J32,'В01 Каталог'!$B$5:$B$19,0)),""))</f>
        <v/>
      </c>
      <c r="N32" s="22">
        <f>IF(J32="","",IFERROR(INDEX('В01 Каталог'!$C$5:$C$19,MATCH(J32,'В01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природу",IF(AND(INDEX('В01 Каталог'!$C$5:$C$19,MATCH(J33,'В01 Каталог'!$B$5:$B$19,0))="Лабораторна",F33="фізична",INDEX('В01 Каталог'!$A$5:$A$19,MATCH(J33,'В01 Каталог'!$B$5:$B$19,0))&lt;&gt;"L10"),"Мережевий захід не закриває фізичну загрозу",IF(AND(INDEX('В01 Каталог'!$C$5:$C$19,MATCH(J33,'В01 Каталог'!$B$5:$B$19,0))="Лабораторна",ISERROR(SEARCH(LEFT(D33,1),INDEX('В01 Каталог'!$D$5:$D$19,MATCH(J33,'В01 Каталог'!$B$5:$B$19,0))))),"Захід не діє на цей тип загрози",IF(AND(INDEX('В01 Каталог'!$C$5:$C$19,MATCH(J33,'В01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IF(J33="","",IFERROR(INDEX('В01 Каталог'!$E$5:$E$19,MATCH(J33,'В01 Каталог'!$B$5:$B$19,0)),""))</f>
        <v/>
      </c>
      <c r="N33" s="22">
        <f>IF(J33="","",IFERROR(INDEX('В01 Каталог'!$C$5:$C$19,MATCH(J33,'В01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природу",IF(AND(INDEX('В01 Каталог'!$C$5:$C$19,MATCH(J34,'В01 Каталог'!$B$5:$B$19,0))="Лабораторна",F34="фізична",INDEX('В01 Каталог'!$A$5:$A$19,MATCH(J34,'В01 Каталог'!$B$5:$B$19,0))&lt;&gt;"L10"),"Мережевий захід не закриває фізичну загрозу",IF(AND(INDEX('В01 Каталог'!$C$5:$C$19,MATCH(J34,'В01 Каталог'!$B$5:$B$19,0))="Лабораторна",ISERROR(SEARCH(LEFT(D34,1),INDEX('В01 Каталог'!$D$5:$D$19,MATCH(J34,'В01 Каталог'!$B$5:$B$19,0))))),"Захід не діє на цей тип загрози",IF(AND(INDEX('В01 Каталог'!$C$5:$C$19,MATCH(J34,'В01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IF(J34="","",IFERROR(INDEX('В01 Каталог'!$E$5:$E$19,MATCH(J34,'В01 Каталог'!$B$5:$B$19,0)),""))</f>
        <v/>
      </c>
      <c r="N34" s="22">
        <f>IF(J34="","",IFERROR(INDEX('В01 Каталог'!$C$5:$C$19,MATCH(J34,'В01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='В01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='В01 Каталог'!$B$5:$B$19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2"/>
    <row r="3"/>
    <row r="4">
      <c r="A4" s="23" t="inlineStr">
        <is>
          <t>Загроз у таблиці</t>
        </is>
      </c>
      <c r="B4" s="24">
        <f>COUNTA('В01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COUNTIF('В01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COUNTIF('В01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COUNTIF('В01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COUNTIF('В01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COUNTIF('В01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COUNTIF('В01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COUNTIF('В01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COUNTIF('В01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COUNTIF('В01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COUNTIF('В01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COUNTIF('В01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COUNTIF('В01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COUNTIF('В01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SUMPRODUCT(('В01 Загрози і заходи'!I5:I34="Так")*('В01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COUNTIFS('В01 Загрози і заходи'!I5:I34,"Так",'В01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COUNTIF('В01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3"/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n"/>
      <c r="B5" s="11" t="n"/>
      <c r="C5" s="11" t="n"/>
      <c r="D5" s="11" t="n"/>
    </row>
    <row r="6" ht="70" customHeight="1">
      <c r="A6" s="11" t="n"/>
      <c r="B6" s="11" t="n"/>
      <c r="C6" s="11" t="n"/>
      <c r="D6" s="11" t="n"/>
    </row>
    <row r="7" ht="70" customHeight="1">
      <c r="A7" s="11" t="n"/>
      <c r="B7" s="11" t="n"/>
      <c r="C7" s="11" t="n"/>
      <c r="D7" s="11" t="n"/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1"/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n"/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02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02</t>
        </is>
      </c>
    </row>
    <row r="2"/>
    <row r="3">
      <c r="A3" s="10" t="inlineStr">
        <is>
          <t>Студент (прізвище)</t>
        </is>
      </c>
      <c r="B3" s="11" t="n"/>
    </row>
    <row r="4">
      <c r="A4" s="10" t="inlineStr">
        <is>
          <t>Точка прийому</t>
        </is>
      </c>
      <c r="B4" s="12" t="inlineStr">
        <is>
          <t>банкомат у залі обслуговування</t>
        </is>
      </c>
    </row>
    <row r="5">
      <c r="A5" s="10" t="inlineStr">
        <is>
          <t>Підключення точки до мережі</t>
        </is>
      </c>
      <c r="B5" s="12" t="inlineStr">
        <is>
          <t>Ethernet-кабель усередині будівлі</t>
        </is>
      </c>
    </row>
    <row r="6">
      <c r="A6" s="10" t="inlineStr">
        <is>
          <t>Зв'язок відділення зі шлюзом</t>
        </is>
      </c>
      <c r="B6" s="12" t="inlineStr">
        <is>
          <t>виділена лінія до головного офісу</t>
        </is>
      </c>
    </row>
    <row r="7">
      <c r="A7" s="10" t="inlineStr">
        <is>
          <t>Особливий учасник</t>
        </is>
      </c>
      <c r="B7" s="12" t="inlineStr">
        <is>
          <t>оператор зв'язку: обладнання й канал на стороні оператора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0"/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n"/>
      <c r="C13" s="15">
        <f>A13&amp;". "&amp;B13</f>
        <v/>
      </c>
    </row>
    <row r="14">
      <c r="A14" s="15" t="inlineStr">
        <is>
          <t>M2</t>
        </is>
      </c>
      <c r="B14" s="11" t="n"/>
      <c r="C14" s="15">
        <f>A14&amp;". "&amp;B14</f>
        <v/>
      </c>
    </row>
    <row r="15">
      <c r="A15" s="15" t="inlineStr">
        <is>
          <t>M3</t>
        </is>
      </c>
      <c r="B15" s="11" t="n"/>
      <c r="C15" s="15">
        <f>A15&amp;". "&amp;B15</f>
        <v/>
      </c>
    </row>
    <row r="16">
      <c r="A16" s="15" t="inlineStr">
        <is>
          <t>M4</t>
        </is>
      </c>
      <c r="B16" s="11" t="n"/>
      <c r="C16" s="15">
        <f>A16&amp;". "&amp;B16</f>
        <v/>
      </c>
    </row>
    <row r="17">
      <c r="A17" s="15" t="inlineStr">
        <is>
          <t>M5</t>
        </is>
      </c>
      <c r="B17" s="11" t="n"/>
      <c r="C17" s="15">
        <f>A17&amp;". "&amp;B17</f>
        <v/>
      </c>
    </row>
    <row r="18">
      <c r="A18" s="15" t="inlineStr">
        <is>
          <t>M6</t>
        </is>
      </c>
      <c r="B18" s="11" t="n"/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3"/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3"/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M1</t>
        </is>
      </c>
      <c r="C5" s="15" t="inlineStr">
        <is>
          <t>R — відмова від дій</t>
        </is>
      </c>
      <c r="D5" s="15" t="inlineStr">
        <is>
          <t>Клієнт заперечує операцію, а повного журналу з точним часом немає</t>
        </is>
      </c>
      <c r="E5" s="15" t="inlineStr">
        <is>
          <t>організаційна</t>
        </is>
      </c>
      <c r="F5" s="15" t="n">
        <v>2</v>
      </c>
      <c r="G5" s="15" t="inlineStr">
        <is>
          <t>ЛР10. Syslog, NTP і моніторинг (лише виявляє)</t>
        </is>
      </c>
    </row>
    <row r="6">
      <c r="A6" s="15" t="n">
        <v>2</v>
      </c>
      <c r="B6" s="15" t="inlineStr">
        <is>
          <t>M2</t>
        </is>
      </c>
      <c r="C6" s="15" t="inlineStr">
        <is>
          <t>T — зміна даних</t>
        </is>
      </c>
      <c r="D6" s="15" t="inlineStr">
        <is>
          <t>Підробний DHCP-сервер видає терміналу чужий шлюз і перехоплює платіжний трафік</t>
        </is>
      </c>
      <c r="E6" s="15" t="inlineStr">
        <is>
          <t>мережева</t>
        </is>
      </c>
      <c r="F6" s="15" t="n">
        <v>2</v>
      </c>
      <c r="G6" s="15" t="inlineStr">
        <is>
          <t>ЛР3. DHCP Snooping</t>
        </is>
      </c>
    </row>
    <row r="7">
      <c r="A7" s="15" t="n">
        <v>3</v>
      </c>
      <c r="B7" s="15" t="inlineStr">
        <is>
          <t>M3</t>
        </is>
      </c>
      <c r="C7" s="15" t="inlineStr">
        <is>
          <t>T — зміна даних</t>
        </is>
      </c>
      <c r="D7" s="15" t="inlineStr">
        <is>
          <t>Встановити IPsec VPN і міжмережевий екран між відділенням і шлюзом</t>
        </is>
      </c>
      <c r="E7" s="15" t="inlineStr">
        <is>
          <t>мережева</t>
        </is>
      </c>
      <c r="F7" s="15" t="n">
        <v>3</v>
      </c>
      <c r="G7" s="15" t="inlineStr">
        <is>
          <t>ЛР7. IPsec VPN між відділенням і головним офісом</t>
        </is>
      </c>
    </row>
    <row r="8">
      <c r="A8" s="15" t="n">
        <v>4</v>
      </c>
      <c r="B8" s="15" t="inlineStr">
        <is>
          <t>M5</t>
        </is>
      </c>
      <c r="C8" s="15" t="inlineStr">
        <is>
          <t>S — підміна</t>
        </is>
      </c>
      <c r="D8" s="15" t="inlineStr">
        <is>
          <t>Підроблений запит до АБС від зламаного шлюзу чи від ПК відділення</t>
        </is>
      </c>
      <c r="E8" s="15" t="inlineStr">
        <is>
          <t>мережева</t>
        </is>
      </c>
      <c r="F8" s="15" t="n">
        <v>3</v>
      </c>
      <c r="G8" s="15" t="inlineStr">
        <is>
          <t>ЛР5. Міжмережевий екран ASA: зони й NAT</t>
        </is>
      </c>
    </row>
    <row r="9">
      <c r="A9" s="15" t="n">
        <v>5</v>
      </c>
      <c r="B9" s="15" t="inlineStr">
        <is>
          <t>M4</t>
        </is>
      </c>
      <c r="C9" s="15" t="inlineStr">
        <is>
          <t>T — зміна даних</t>
        </is>
      </c>
      <c r="D9" s="15" t="inlineStr">
        <is>
          <t>Перехоплення платіжного трафіку в каналі: зловмисник читає передані дані</t>
        </is>
      </c>
      <c r="E9" s="15" t="inlineStr">
        <is>
          <t>мережева</t>
        </is>
      </c>
      <c r="F9" s="15" t="n">
        <v>3</v>
      </c>
      <c r="G9" s="15" t="inlineStr">
        <is>
          <t>ЛР7. IPsec VPN між відділенням і головним офісом</t>
        </is>
      </c>
    </row>
    <row r="10">
      <c r="A10" s="15" t="n">
        <v>6</v>
      </c>
      <c r="B10" s="15" t="inlineStr">
        <is>
          <t>M1</t>
        </is>
      </c>
      <c r="C10" s="15" t="inlineStr">
        <is>
          <t>T — зміна даних</t>
        </is>
      </c>
      <c r="D10" s="15" t="inlineStr">
        <is>
          <t>Скімер на банкомата в залі: копіює дані картки</t>
        </is>
      </c>
      <c r="E10" s="15" t="inlineStr">
        <is>
          <t>фізична</t>
        </is>
      </c>
      <c r="F10" s="15" t="n">
        <v>3</v>
      </c>
      <c r="G10" s="15" t="inlineStr">
        <is>
          <t>ЛР1. Сегментація VLAN і маршрутизація між ними</t>
        </is>
      </c>
    </row>
    <row r="11">
      <c r="A11" s="15" t="n">
        <v>7</v>
      </c>
      <c r="B11" s="15" t="inlineStr">
        <is>
          <t>M5</t>
        </is>
      </c>
      <c r="C11" s="15" t="inlineStr">
        <is>
          <t>R — відмова від дій</t>
        </is>
      </c>
      <c r="D11" s="15" t="inlineStr">
        <is>
          <t>Шлюз не зберігає журнал: після шахрайства неможливо відновити послідовність подій</t>
        </is>
      </c>
      <c r="E11" s="15" t="inlineStr">
        <is>
          <t>мережева</t>
        </is>
      </c>
      <c r="F11" s="15" t="n">
        <v>2</v>
      </c>
      <c r="G11" s="15" t="inlineStr">
        <is>
          <t>ЛР10. Syslog, NTP і моніторинг (лише виявляє)</t>
        </is>
      </c>
    </row>
    <row r="12"/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n"/>
      <c r="B15" s="11" t="n"/>
      <c r="C15" s="11" t="n"/>
      <c r="D15" s="19" t="n"/>
      <c r="E15" s="19" t="n"/>
      <c r="F15" s="19" t="n"/>
      <c r="G15" s="20" t="n"/>
    </row>
    <row r="16">
      <c r="A16" s="11" t="n"/>
      <c r="B16" s="11" t="n"/>
      <c r="C16" s="11" t="n"/>
      <c r="D16" s="19" t="n"/>
      <c r="E16" s="19" t="n"/>
      <c r="F16" s="19" t="n"/>
      <c r="G16" s="20" t="n"/>
    </row>
    <row r="17">
      <c r="A17" s="11" t="n"/>
      <c r="B17" s="11" t="n"/>
      <c r="C17" s="11" t="n"/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O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3"/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n"/>
      <c r="C5" s="11" t="n"/>
      <c r="D5" s="21" t="n"/>
      <c r="E5" s="11" t="n"/>
      <c r="F5" s="21" t="n"/>
      <c r="G5" s="21" t="n"/>
      <c r="H5" s="11" t="n"/>
      <c r="I5" s="21" t="n"/>
      <c r="J5" s="11" t="n"/>
      <c r="K5" s="11" t="n"/>
      <c r="L5" s="15">
        <f>IF(I5&lt;&gt;"Так","",IF(J5="","Оберіть захід",IF(K5="","Вкажіть, де в мережі",IF(D5="","Оберіть літеру STRIDE",IF(F5="","Вкажіть природу",IF(AND(INDEX('В02 Каталог'!$C$5:$C$19,MATCH(J5,'В02 Каталог'!$B$5:$B$19,0))="Лабораторна",F5="фізична",INDEX('В02 Каталог'!$A$5:$A$19,MATCH(J5,'В02 Каталог'!$B$5:$B$19,0))&lt;&gt;"L10"),"Мережевий захід не закриває фізичну загрозу",IF(AND(INDEX('В02 Каталог'!$C$5:$C$19,MATCH(J5,'В02 Каталог'!$B$5:$B$19,0))="Лабораторна",ISERROR(SEARCH(LEFT(D5,1),INDEX('В02 Каталог'!$D$5:$D$19,MATCH(J5,'В02 Каталог'!$B$5:$B$19,0))))),"Захід не діє на цей тип загрози",IF(AND(INDEX('В02 Каталог'!$C$5:$C$19,MATCH(J5,'В02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IF(J5="","",IFERROR(INDEX('В02 Каталог'!$E$5:$E$19,MATCH(J5,'В02 Каталог'!$B$5:$B$19,0)),""))</f>
        <v/>
      </c>
      <c r="N5" s="22">
        <f>IF(J5="","",IFERROR(INDEX('В02 Каталог'!$C$5:$C$19,MATCH(J5,'В02 Каталог'!$B$5:$B$19,0)),""))</f>
        <v/>
      </c>
      <c r="O5" s="21" t="n"/>
    </row>
    <row r="6">
      <c r="A6" s="15" t="n">
        <v>2</v>
      </c>
      <c r="B6" s="11" t="n"/>
      <c r="C6" s="11" t="n"/>
      <c r="D6" s="21" t="n"/>
      <c r="E6" s="11" t="n"/>
      <c r="F6" s="21" t="n"/>
      <c r="G6" s="21" t="n"/>
      <c r="H6" s="11" t="n"/>
      <c r="I6" s="21" t="n"/>
      <c r="J6" s="11" t="n"/>
      <c r="K6" s="11" t="n"/>
      <c r="L6" s="15">
        <f>IF(I6&lt;&gt;"Так","",IF(J6="","Оберіть захід",IF(K6="","Вкажіть, де в мережі",IF(D6="","Оберіть літеру STRIDE",IF(F6="","Вкажіть природу",IF(AND(INDEX('В02 Каталог'!$C$5:$C$19,MATCH(J6,'В02 Каталог'!$B$5:$B$19,0))="Лабораторна",F6="фізична",INDEX('В02 Каталог'!$A$5:$A$19,MATCH(J6,'В02 Каталог'!$B$5:$B$19,0))&lt;&gt;"L10"),"Мережевий захід не закриває фізичну загрозу",IF(AND(INDEX('В02 Каталог'!$C$5:$C$19,MATCH(J6,'В02 Каталог'!$B$5:$B$19,0))="Лабораторна",ISERROR(SEARCH(LEFT(D6,1),INDEX('В02 Каталог'!$D$5:$D$19,MATCH(J6,'В02 Каталог'!$B$5:$B$19,0))))),"Захід не діє на цей тип загрози",IF(AND(INDEX('В02 Каталог'!$C$5:$C$19,MATCH(J6,'В02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IF(J6="","",IFERROR(INDEX('В02 Каталог'!$E$5:$E$19,MATCH(J6,'В02 Каталог'!$B$5:$B$19,0)),""))</f>
        <v/>
      </c>
      <c r="N6" s="22">
        <f>IF(J6="","",IFERROR(INDEX('В02 Каталог'!$C$5:$C$19,MATCH(J6,'В02 Каталог'!$B$5:$B$19,0)),""))</f>
        <v/>
      </c>
      <c r="O6" s="21" t="n"/>
    </row>
    <row r="7">
      <c r="A7" s="15" t="n">
        <v>3</v>
      </c>
      <c r="B7" s="11" t="n"/>
      <c r="C7" s="11" t="n"/>
      <c r="D7" s="21" t="n"/>
      <c r="E7" s="11" t="n"/>
      <c r="F7" s="21" t="n"/>
      <c r="G7" s="21" t="n"/>
      <c r="H7" s="11" t="n"/>
      <c r="I7" s="21" t="n"/>
      <c r="J7" s="11" t="n"/>
      <c r="K7" s="11" t="n"/>
      <c r="L7" s="15">
        <f>IF(I7&lt;&gt;"Так","",IF(J7="","Оберіть захід",IF(K7="","Вкажіть, де в мережі",IF(D7="","Оберіть літеру STRIDE",IF(F7="","Вкажіть природу",IF(AND(INDEX('В02 Каталог'!$C$5:$C$19,MATCH(J7,'В02 Каталог'!$B$5:$B$19,0))="Лабораторна",F7="фізична",INDEX('В02 Каталог'!$A$5:$A$19,MATCH(J7,'В02 Каталог'!$B$5:$B$19,0))&lt;&gt;"L10"),"Мережевий захід не закриває фізичну загрозу",IF(AND(INDEX('В02 Каталог'!$C$5:$C$19,MATCH(J7,'В02 Каталог'!$B$5:$B$19,0))="Лабораторна",ISERROR(SEARCH(LEFT(D7,1),INDEX('В02 Каталог'!$D$5:$D$19,MATCH(J7,'В02 Каталог'!$B$5:$B$19,0))))),"Захід не діє на цей тип загрози",IF(AND(INDEX('В02 Каталог'!$C$5:$C$19,MATCH(J7,'В02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IF(J7="","",IFERROR(INDEX('В02 Каталог'!$E$5:$E$19,MATCH(J7,'В02 Каталог'!$B$5:$B$19,0)),""))</f>
        <v/>
      </c>
      <c r="N7" s="22">
        <f>IF(J7="","",IFERROR(INDEX('В02 Каталог'!$C$5:$C$19,MATCH(J7,'В02 Каталог'!$B$5:$B$19,0)),""))</f>
        <v/>
      </c>
      <c r="O7" s="21" t="n"/>
    </row>
    <row r="8">
      <c r="A8" s="15" t="n">
        <v>4</v>
      </c>
      <c r="B8" s="11" t="n"/>
      <c r="C8" s="11" t="n"/>
      <c r="D8" s="21" t="n"/>
      <c r="E8" s="11" t="n"/>
      <c r="F8" s="21" t="n"/>
      <c r="G8" s="21" t="n"/>
      <c r="H8" s="11" t="n"/>
      <c r="I8" s="21" t="n"/>
      <c r="J8" s="11" t="n"/>
      <c r="K8" s="11" t="n"/>
      <c r="L8" s="15">
        <f>IF(I8&lt;&gt;"Так","",IF(J8="","Оберіть захід",IF(K8="","Вкажіть, де в мережі",IF(D8="","Оберіть літеру STRIDE",IF(F8="","Вкажіть природу",IF(AND(INDEX('В02 Каталог'!$C$5:$C$19,MATCH(J8,'В02 Каталог'!$B$5:$B$19,0))="Лабораторна",F8="фізична",INDEX('В02 Каталог'!$A$5:$A$19,MATCH(J8,'В02 Каталог'!$B$5:$B$19,0))&lt;&gt;"L10"),"Мережевий захід не закриває фізичну загрозу",IF(AND(INDEX('В02 Каталог'!$C$5:$C$19,MATCH(J8,'В02 Каталог'!$B$5:$B$19,0))="Лабораторна",ISERROR(SEARCH(LEFT(D8,1),INDEX('В02 Каталог'!$D$5:$D$19,MATCH(J8,'В02 Каталог'!$B$5:$B$19,0))))),"Захід не діє на цей тип загрози",IF(AND(INDEX('В02 Каталог'!$C$5:$C$19,MATCH(J8,'В02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IF(J8="","",IFERROR(INDEX('В02 Каталог'!$E$5:$E$19,MATCH(J8,'В02 Каталог'!$B$5:$B$19,0)),""))</f>
        <v/>
      </c>
      <c r="N8" s="22">
        <f>IF(J8="","",IFERROR(INDEX('В02 Каталог'!$C$5:$C$19,MATCH(J8,'В02 Каталог'!$B$5:$B$19,0)),""))</f>
        <v/>
      </c>
      <c r="O8" s="21" t="n"/>
    </row>
    <row r="9">
      <c r="A9" s="15" t="n">
        <v>5</v>
      </c>
      <c r="B9" s="11" t="n"/>
      <c r="C9" s="11" t="n"/>
      <c r="D9" s="21" t="n"/>
      <c r="E9" s="11" t="n"/>
      <c r="F9" s="21" t="n"/>
      <c r="G9" s="21" t="n"/>
      <c r="H9" s="11" t="n"/>
      <c r="I9" s="21" t="n"/>
      <c r="J9" s="11" t="n"/>
      <c r="K9" s="11" t="n"/>
      <c r="L9" s="15">
        <f>IF(I9&lt;&gt;"Так","",IF(J9="","Оберіть захід",IF(K9="","Вкажіть, де в мережі",IF(D9="","Оберіть літеру STRIDE",IF(F9="","Вкажіть природу",IF(AND(INDEX('В02 Каталог'!$C$5:$C$19,MATCH(J9,'В02 Каталог'!$B$5:$B$19,0))="Лабораторна",F9="фізична",INDEX('В02 Каталог'!$A$5:$A$19,MATCH(J9,'В02 Каталог'!$B$5:$B$19,0))&lt;&gt;"L10"),"Мережевий захід не закриває фізичну загрозу",IF(AND(INDEX('В02 Каталог'!$C$5:$C$19,MATCH(J9,'В02 Каталог'!$B$5:$B$19,0))="Лабораторна",ISERROR(SEARCH(LEFT(D9,1),INDEX('В02 Каталог'!$D$5:$D$19,MATCH(J9,'В02 Каталог'!$B$5:$B$19,0))))),"Захід не діє на цей тип загрози",IF(AND(INDEX('В02 Каталог'!$C$5:$C$19,MATCH(J9,'В02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IF(J9="","",IFERROR(INDEX('В02 Каталог'!$E$5:$E$19,MATCH(J9,'В02 Каталог'!$B$5:$B$19,0)),""))</f>
        <v/>
      </c>
      <c r="N9" s="22">
        <f>IF(J9="","",IFERROR(INDEX('В02 Каталог'!$C$5:$C$19,MATCH(J9,'В02 Каталог'!$B$5:$B$19,0)),""))</f>
        <v/>
      </c>
      <c r="O9" s="21" t="n"/>
    </row>
    <row r="10">
      <c r="A10" s="15" t="n">
        <v>6</v>
      </c>
      <c r="B10" s="11" t="n"/>
      <c r="C10" s="11" t="n"/>
      <c r="D10" s="21" t="n"/>
      <c r="E10" s="11" t="n"/>
      <c r="F10" s="21" t="n"/>
      <c r="G10" s="21" t="n"/>
      <c r="H10" s="11" t="n"/>
      <c r="I10" s="21" t="n"/>
      <c r="J10" s="11" t="n"/>
      <c r="K10" s="11" t="n"/>
      <c r="L10" s="15">
        <f>IF(I10&lt;&gt;"Так","",IF(J10="","Оберіть захід",IF(K10="","Вкажіть, де в мережі",IF(D10="","Оберіть літеру STRIDE",IF(F10="","Вкажіть природу",IF(AND(INDEX('В02 Каталог'!$C$5:$C$19,MATCH(J10,'В02 Каталог'!$B$5:$B$19,0))="Лабораторна",F10="фізична",INDEX('В02 Каталог'!$A$5:$A$19,MATCH(J10,'В02 Каталог'!$B$5:$B$19,0))&lt;&gt;"L10"),"Мережевий захід не закриває фізичну загрозу",IF(AND(INDEX('В02 Каталог'!$C$5:$C$19,MATCH(J10,'В02 Каталог'!$B$5:$B$19,0))="Лабораторна",ISERROR(SEARCH(LEFT(D10,1),INDEX('В02 Каталог'!$D$5:$D$19,MATCH(J10,'В02 Каталог'!$B$5:$B$19,0))))),"Захід не діє на цей тип загрози",IF(AND(INDEX('В02 Каталог'!$C$5:$C$19,MATCH(J10,'В02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IF(J10="","",IFERROR(INDEX('В02 Каталог'!$E$5:$E$19,MATCH(J10,'В02 Каталог'!$B$5:$B$19,0)),""))</f>
        <v/>
      </c>
      <c r="N10" s="22">
        <f>IF(J10="","",IFERROR(INDEX('В02 Каталог'!$C$5:$C$19,MATCH(J10,'В02 Каталог'!$B$5:$B$19,0)),""))</f>
        <v/>
      </c>
      <c r="O10" s="21" t="n"/>
    </row>
    <row r="11">
      <c r="A11" s="15" t="n">
        <v>7</v>
      </c>
      <c r="B11" s="11" t="n"/>
      <c r="C11" s="11" t="n"/>
      <c r="D11" s="21" t="n"/>
      <c r="E11" s="11" t="n"/>
      <c r="F11" s="21" t="n"/>
      <c r="G11" s="21" t="n"/>
      <c r="H11" s="11" t="n"/>
      <c r="I11" s="21" t="n"/>
      <c r="J11" s="11" t="n"/>
      <c r="K11" s="11" t="n"/>
      <c r="L11" s="15">
        <f>IF(I11&lt;&gt;"Так","",IF(J11="","Оберіть захід",IF(K11="","Вкажіть, де в мережі",IF(D11="","Оберіть літеру STRIDE",IF(F11="","Вкажіть природу",IF(AND(INDEX('В02 Каталог'!$C$5:$C$19,MATCH(J11,'В02 Каталог'!$B$5:$B$19,0))="Лабораторна",F11="фізична",INDEX('В02 Каталог'!$A$5:$A$19,MATCH(J11,'В02 Каталог'!$B$5:$B$19,0))&lt;&gt;"L10"),"Мережевий захід не закриває фізичну загрозу",IF(AND(INDEX('В02 Каталог'!$C$5:$C$19,MATCH(J11,'В02 Каталог'!$B$5:$B$19,0))="Лабораторна",ISERROR(SEARCH(LEFT(D11,1),INDEX('В02 Каталог'!$D$5:$D$19,MATCH(J11,'В02 Каталог'!$B$5:$B$19,0))))),"Захід не діє на цей тип загрози",IF(AND(INDEX('В02 Каталог'!$C$5:$C$19,MATCH(J11,'В02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IF(J11="","",IFERROR(INDEX('В02 Каталог'!$E$5:$E$19,MATCH(J11,'В02 Каталог'!$B$5:$B$19,0)),""))</f>
        <v/>
      </c>
      <c r="N11" s="22">
        <f>IF(J11="","",IFERROR(INDEX('В02 Каталог'!$C$5:$C$19,MATCH(J11,'В02 Каталог'!$B$5:$B$19,0)),""))</f>
        <v/>
      </c>
      <c r="O11" s="21" t="n"/>
    </row>
    <row r="12">
      <c r="A12" s="15" t="n">
        <v>8</v>
      </c>
      <c r="B12" s="11" t="n"/>
      <c r="C12" s="11" t="n"/>
      <c r="D12" s="21" t="n"/>
      <c r="E12" s="11" t="n"/>
      <c r="F12" s="21" t="n"/>
      <c r="G12" s="21" t="n"/>
      <c r="H12" s="11" t="n"/>
      <c r="I12" s="21" t="n"/>
      <c r="J12" s="11" t="n"/>
      <c r="K12" s="11" t="n"/>
      <c r="L12" s="15">
        <f>IF(I12&lt;&gt;"Так","",IF(J12="","Оберіть захід",IF(K12="","Вкажіть, де в мережі",IF(D12="","Оберіть літеру STRIDE",IF(F12="","Вкажіть природу",IF(AND(INDEX('В02 Каталог'!$C$5:$C$19,MATCH(J12,'В02 Каталог'!$B$5:$B$19,0))="Лабораторна",F12="фізична",INDEX('В02 Каталог'!$A$5:$A$19,MATCH(J12,'В02 Каталог'!$B$5:$B$19,0))&lt;&gt;"L10"),"Мережевий захід не закриває фізичну загрозу",IF(AND(INDEX('В02 Каталог'!$C$5:$C$19,MATCH(J12,'В02 Каталог'!$B$5:$B$19,0))="Лабораторна",ISERROR(SEARCH(LEFT(D12,1),INDEX('В02 Каталог'!$D$5:$D$19,MATCH(J12,'В02 Каталог'!$B$5:$B$19,0))))),"Захід не діє на цей тип загрози",IF(AND(INDEX('В02 Каталог'!$C$5:$C$19,MATCH(J12,'В02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IF(J12="","",IFERROR(INDEX('В02 Каталог'!$E$5:$E$19,MATCH(J12,'В02 Каталог'!$B$5:$B$19,0)),""))</f>
        <v/>
      </c>
      <c r="N12" s="22">
        <f>IF(J12="","",IFERROR(INDEX('В02 Каталог'!$C$5:$C$19,MATCH(J12,'В02 Каталог'!$B$5:$B$19,0)),""))</f>
        <v/>
      </c>
      <c r="O12" s="21" t="n"/>
    </row>
    <row r="13">
      <c r="A13" s="15" t="n">
        <v>9</v>
      </c>
      <c r="B13" s="11" t="n"/>
      <c r="C13" s="11" t="n"/>
      <c r="D13" s="21" t="n"/>
      <c r="E13" s="11" t="n"/>
      <c r="F13" s="21" t="n"/>
      <c r="G13" s="21" t="n"/>
      <c r="H13" s="11" t="n"/>
      <c r="I13" s="21" t="n"/>
      <c r="J13" s="11" t="n"/>
      <c r="K13" s="11" t="n"/>
      <c r="L13" s="15">
        <f>IF(I13&lt;&gt;"Так","",IF(J13="","Оберіть захід",IF(K13="","Вкажіть, де в мережі",IF(D13="","Оберіть літеру STRIDE",IF(F13="","Вкажіть природу",IF(AND(INDEX('В02 Каталог'!$C$5:$C$19,MATCH(J13,'В02 Каталог'!$B$5:$B$19,0))="Лабораторна",F13="фізична",INDEX('В02 Каталог'!$A$5:$A$19,MATCH(J13,'В02 Каталог'!$B$5:$B$19,0))&lt;&gt;"L10"),"Мережевий захід не закриває фізичну загрозу",IF(AND(INDEX('В02 Каталог'!$C$5:$C$19,MATCH(J13,'В02 Каталог'!$B$5:$B$19,0))="Лабораторна",ISERROR(SEARCH(LEFT(D13,1),INDEX('В02 Каталог'!$D$5:$D$19,MATCH(J13,'В02 Каталог'!$B$5:$B$19,0))))),"Захід не діє на цей тип загрози",IF(AND(INDEX('В02 Каталог'!$C$5:$C$19,MATCH(J13,'В02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IF(J13="","",IFERROR(INDEX('В02 Каталог'!$E$5:$E$19,MATCH(J13,'В02 Каталог'!$B$5:$B$19,0)),""))</f>
        <v/>
      </c>
      <c r="N13" s="22">
        <f>IF(J13="","",IFERROR(INDEX('В02 Каталог'!$C$5:$C$19,MATCH(J13,'В02 Каталог'!$B$5:$B$19,0)),""))</f>
        <v/>
      </c>
      <c r="O13" s="21" t="n"/>
    </row>
    <row r="14">
      <c r="A14" s="15" t="n">
        <v>10</v>
      </c>
      <c r="B14" s="11" t="n"/>
      <c r="C14" s="11" t="n"/>
      <c r="D14" s="21" t="n"/>
      <c r="E14" s="11" t="n"/>
      <c r="F14" s="21" t="n"/>
      <c r="G14" s="21" t="n"/>
      <c r="H14" s="11" t="n"/>
      <c r="I14" s="21" t="n"/>
      <c r="J14" s="11" t="n"/>
      <c r="K14" s="11" t="n"/>
      <c r="L14" s="15">
        <f>IF(I14&lt;&gt;"Так","",IF(J14="","Оберіть захід",IF(K14="","Вкажіть, де в мережі",IF(D14="","Оберіть літеру STRIDE",IF(F14="","Вкажіть природу",IF(AND(INDEX('В02 Каталог'!$C$5:$C$19,MATCH(J14,'В02 Каталог'!$B$5:$B$19,0))="Лабораторна",F14="фізична",INDEX('В02 Каталог'!$A$5:$A$19,MATCH(J14,'В02 Каталог'!$B$5:$B$19,0))&lt;&gt;"L10"),"Мережевий захід не закриває фізичну загрозу",IF(AND(INDEX('В02 Каталог'!$C$5:$C$19,MATCH(J14,'В02 Каталог'!$B$5:$B$19,0))="Лабораторна",ISERROR(SEARCH(LEFT(D14,1),INDEX('В02 Каталог'!$D$5:$D$19,MATCH(J14,'В02 Каталог'!$B$5:$B$19,0))))),"Захід не діє на цей тип загрози",IF(AND(INDEX('В02 Каталог'!$C$5:$C$19,MATCH(J14,'В02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IF(J14="","",IFERROR(INDEX('В02 Каталог'!$E$5:$E$19,MATCH(J14,'В02 Каталог'!$B$5:$B$19,0)),""))</f>
        <v/>
      </c>
      <c r="N14" s="22">
        <f>IF(J14="","",IFERROR(INDEX('В02 Каталог'!$C$5:$C$19,MATCH(J14,'В02 Каталог'!$B$5:$B$19,0)),""))</f>
        <v/>
      </c>
      <c r="O14" s="21" t="n"/>
    </row>
    <row r="15">
      <c r="A15" s="15" t="n">
        <v>11</v>
      </c>
      <c r="B15" s="11" t="n"/>
      <c r="C15" s="11" t="n"/>
      <c r="D15" s="21" t="n"/>
      <c r="E15" s="11" t="n"/>
      <c r="F15" s="21" t="n"/>
      <c r="G15" s="21" t="n"/>
      <c r="H15" s="11" t="n"/>
      <c r="I15" s="21" t="n"/>
      <c r="J15" s="11" t="n"/>
      <c r="K15" s="11" t="n"/>
      <c r="L15" s="15">
        <f>IF(I15&lt;&gt;"Так","",IF(J15="","Оберіть захід",IF(K15="","Вкажіть, де в мережі",IF(D15="","Оберіть літеру STRIDE",IF(F15="","Вкажіть природу",IF(AND(INDEX('В02 Каталог'!$C$5:$C$19,MATCH(J15,'В02 Каталог'!$B$5:$B$19,0))="Лабораторна",F15="фізична",INDEX('В02 Каталог'!$A$5:$A$19,MATCH(J15,'В02 Каталог'!$B$5:$B$19,0))&lt;&gt;"L10"),"Мережевий захід не закриває фізичну загрозу",IF(AND(INDEX('В02 Каталог'!$C$5:$C$19,MATCH(J15,'В02 Каталог'!$B$5:$B$19,0))="Лабораторна",ISERROR(SEARCH(LEFT(D15,1),INDEX('В02 Каталог'!$D$5:$D$19,MATCH(J15,'В02 Каталог'!$B$5:$B$19,0))))),"Захід не діє на цей тип загрози",IF(AND(INDEX('В02 Каталог'!$C$5:$C$19,MATCH(J15,'В02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IF(J15="","",IFERROR(INDEX('В02 Каталог'!$E$5:$E$19,MATCH(J15,'В02 Каталог'!$B$5:$B$19,0)),""))</f>
        <v/>
      </c>
      <c r="N15" s="22">
        <f>IF(J15="","",IFERROR(INDEX('В02 Каталог'!$C$5:$C$19,MATCH(J15,'В02 Каталог'!$B$5:$B$19,0)),""))</f>
        <v/>
      </c>
      <c r="O15" s="21" t="n"/>
    </row>
    <row r="16">
      <c r="A16" s="15" t="n">
        <v>12</v>
      </c>
      <c r="B16" s="11" t="n"/>
      <c r="C16" s="11" t="n"/>
      <c r="D16" s="21" t="n"/>
      <c r="E16" s="11" t="n"/>
      <c r="F16" s="21" t="n"/>
      <c r="G16" s="21" t="n"/>
      <c r="H16" s="11" t="n"/>
      <c r="I16" s="21" t="n"/>
      <c r="J16" s="11" t="n"/>
      <c r="K16" s="11" t="n"/>
      <c r="L16" s="15">
        <f>IF(I16&lt;&gt;"Так","",IF(J16="","Оберіть захід",IF(K16="","Вкажіть, де в мережі",IF(D16="","Оберіть літеру STRIDE",IF(F16="","Вкажіть природу",IF(AND(INDEX('В02 Каталог'!$C$5:$C$19,MATCH(J16,'В02 Каталог'!$B$5:$B$19,0))="Лабораторна",F16="фізична",INDEX('В02 Каталог'!$A$5:$A$19,MATCH(J16,'В02 Каталог'!$B$5:$B$19,0))&lt;&gt;"L10"),"Мережевий захід не закриває фізичну загрозу",IF(AND(INDEX('В02 Каталог'!$C$5:$C$19,MATCH(J16,'В02 Каталог'!$B$5:$B$19,0))="Лабораторна",ISERROR(SEARCH(LEFT(D16,1),INDEX('В02 Каталог'!$D$5:$D$19,MATCH(J16,'В02 Каталог'!$B$5:$B$19,0))))),"Захід не діє на цей тип загрози",IF(AND(INDEX('В02 Каталог'!$C$5:$C$19,MATCH(J16,'В02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IF(J16="","",IFERROR(INDEX('В02 Каталог'!$E$5:$E$19,MATCH(J16,'В02 Каталог'!$B$5:$B$19,0)),""))</f>
        <v/>
      </c>
      <c r="N16" s="22">
        <f>IF(J16="","",IFERROR(INDEX('В02 Каталог'!$C$5:$C$19,MATCH(J16,'В02 Каталог'!$B$5:$B$19,0)),""))</f>
        <v/>
      </c>
      <c r="O16" s="21" t="n"/>
    </row>
    <row r="17">
      <c r="A17" s="15" t="n">
        <v>13</v>
      </c>
      <c r="B17" s="11" t="n"/>
      <c r="C17" s="11" t="n"/>
      <c r="D17" s="21" t="n"/>
      <c r="E17" s="11" t="n"/>
      <c r="F17" s="21" t="n"/>
      <c r="G17" s="21" t="n"/>
      <c r="H17" s="11" t="n"/>
      <c r="I17" s="21" t="n"/>
      <c r="J17" s="11" t="n"/>
      <c r="K17" s="11" t="n"/>
      <c r="L17" s="15">
        <f>IF(I17&lt;&gt;"Так","",IF(J17="","Оберіть захід",IF(K17="","Вкажіть, де в мережі",IF(D17="","Оберіть літеру STRIDE",IF(F17="","Вкажіть природу",IF(AND(INDEX('В02 Каталог'!$C$5:$C$19,MATCH(J17,'В02 Каталог'!$B$5:$B$19,0))="Лабораторна",F17="фізична",INDEX('В02 Каталог'!$A$5:$A$19,MATCH(J17,'В02 Каталог'!$B$5:$B$19,0))&lt;&gt;"L10"),"Мережевий захід не закриває фізичну загрозу",IF(AND(INDEX('В02 Каталог'!$C$5:$C$19,MATCH(J17,'В02 Каталог'!$B$5:$B$19,0))="Лабораторна",ISERROR(SEARCH(LEFT(D17,1),INDEX('В02 Каталог'!$D$5:$D$19,MATCH(J17,'В02 Каталог'!$B$5:$B$19,0))))),"Захід не діє на цей тип загрози",IF(AND(INDEX('В02 Каталог'!$C$5:$C$19,MATCH(J17,'В02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IF(J17="","",IFERROR(INDEX('В02 Каталог'!$E$5:$E$19,MATCH(J17,'В02 Каталог'!$B$5:$B$19,0)),""))</f>
        <v/>
      </c>
      <c r="N17" s="22">
        <f>IF(J17="","",IFERROR(INDEX('В02 Каталог'!$C$5:$C$19,MATCH(J17,'В02 Каталог'!$B$5:$B$19,0)),""))</f>
        <v/>
      </c>
      <c r="O17" s="21" t="n"/>
    </row>
    <row r="18">
      <c r="A18" s="15" t="n">
        <v>14</v>
      </c>
      <c r="B18" s="11" t="n"/>
      <c r="C18" s="11" t="n"/>
      <c r="D18" s="21" t="n"/>
      <c r="E18" s="11" t="n"/>
      <c r="F18" s="21" t="n"/>
      <c r="G18" s="21" t="n"/>
      <c r="H18" s="11" t="n"/>
      <c r="I18" s="21" t="n"/>
      <c r="J18" s="11" t="n"/>
      <c r="K18" s="11" t="n"/>
      <c r="L18" s="15">
        <f>IF(I18&lt;&gt;"Так","",IF(J18="","Оберіть захід",IF(K18="","Вкажіть, де в мережі",IF(D18="","Оберіть літеру STRIDE",IF(F18="","Вкажіть природу",IF(AND(INDEX('В02 Каталог'!$C$5:$C$19,MATCH(J18,'В02 Каталог'!$B$5:$B$19,0))="Лабораторна",F18="фізична",INDEX('В02 Каталог'!$A$5:$A$19,MATCH(J18,'В02 Каталог'!$B$5:$B$19,0))&lt;&gt;"L10"),"Мережевий захід не закриває фізичну загрозу",IF(AND(INDEX('В02 Каталог'!$C$5:$C$19,MATCH(J18,'В02 Каталог'!$B$5:$B$19,0))="Лабораторна",ISERROR(SEARCH(LEFT(D18,1),INDEX('В02 Каталог'!$D$5:$D$19,MATCH(J18,'В02 Каталог'!$B$5:$B$19,0))))),"Захід не діє на цей тип загрози",IF(AND(INDEX('В02 Каталог'!$C$5:$C$19,MATCH(J18,'В02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IF(J18="","",IFERROR(INDEX('В02 Каталог'!$E$5:$E$19,MATCH(J18,'В02 Каталог'!$B$5:$B$19,0)),""))</f>
        <v/>
      </c>
      <c r="N18" s="22">
        <f>IF(J18="","",IFERROR(INDEX('В02 Каталог'!$C$5:$C$19,MATCH(J18,'В02 Каталог'!$B$5:$B$19,0)),""))</f>
        <v/>
      </c>
      <c r="O18" s="21" t="n"/>
    </row>
    <row r="19">
      <c r="A19" s="15" t="n">
        <v>15</v>
      </c>
      <c r="B19" s="11" t="n"/>
      <c r="C19" s="11" t="n"/>
      <c r="D19" s="21" t="n"/>
      <c r="E19" s="11" t="n"/>
      <c r="F19" s="21" t="n"/>
      <c r="G19" s="21" t="n"/>
      <c r="H19" s="11" t="n"/>
      <c r="I19" s="21" t="n"/>
      <c r="J19" s="11" t="n"/>
      <c r="K19" s="11" t="n"/>
      <c r="L19" s="15">
        <f>IF(I19&lt;&gt;"Так","",IF(J19="","Оберіть захід",IF(K19="","Вкажіть, де в мережі",IF(D19="","Оберіть літеру STRIDE",IF(F19="","Вкажіть природу",IF(AND(INDEX('В02 Каталог'!$C$5:$C$19,MATCH(J19,'В02 Каталог'!$B$5:$B$19,0))="Лабораторна",F19="фізична",INDEX('В02 Каталог'!$A$5:$A$19,MATCH(J19,'В02 Каталог'!$B$5:$B$19,0))&lt;&gt;"L10"),"Мережевий захід не закриває фізичну загрозу",IF(AND(INDEX('В02 Каталог'!$C$5:$C$19,MATCH(J19,'В02 Каталог'!$B$5:$B$19,0))="Лабораторна",ISERROR(SEARCH(LEFT(D19,1),INDEX('В02 Каталог'!$D$5:$D$19,MATCH(J19,'В02 Каталог'!$B$5:$B$19,0))))),"Захід не діє на цей тип загрози",IF(AND(INDEX('В02 Каталог'!$C$5:$C$19,MATCH(J19,'В02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IF(J19="","",IFERROR(INDEX('В02 Каталог'!$E$5:$E$19,MATCH(J19,'В02 Каталог'!$B$5:$B$19,0)),""))</f>
        <v/>
      </c>
      <c r="N19" s="22">
        <f>IF(J19="","",IFERROR(INDEX('В02 Каталог'!$C$5:$C$19,MATCH(J19,'В02 Каталог'!$B$5:$B$19,0)),""))</f>
        <v/>
      </c>
      <c r="O19" s="21" t="n"/>
    </row>
    <row r="20">
      <c r="A20" s="15" t="n">
        <v>16</v>
      </c>
      <c r="B20" s="11" t="n"/>
      <c r="C20" s="11" t="n"/>
      <c r="D20" s="21" t="n"/>
      <c r="E20" s="11" t="n"/>
      <c r="F20" s="21" t="n"/>
      <c r="G20" s="21" t="n"/>
      <c r="H20" s="11" t="n"/>
      <c r="I20" s="21" t="n"/>
      <c r="J20" s="11" t="n"/>
      <c r="K20" s="11" t="n"/>
      <c r="L20" s="15">
        <f>IF(I20&lt;&gt;"Так","",IF(J20="","Оберіть захід",IF(K20="","Вкажіть, де в мережі",IF(D20="","Оберіть літеру STRIDE",IF(F20="","Вкажіть природу",IF(AND(INDEX('В02 Каталог'!$C$5:$C$19,MATCH(J20,'В02 Каталог'!$B$5:$B$19,0))="Лабораторна",F20="фізична",INDEX('В02 Каталог'!$A$5:$A$19,MATCH(J20,'В02 Каталог'!$B$5:$B$19,0))&lt;&gt;"L10"),"Мережевий захід не закриває фізичну загрозу",IF(AND(INDEX('В02 Каталог'!$C$5:$C$19,MATCH(J20,'В02 Каталог'!$B$5:$B$19,0))="Лабораторна",ISERROR(SEARCH(LEFT(D20,1),INDEX('В02 Каталог'!$D$5:$D$19,MATCH(J20,'В02 Каталог'!$B$5:$B$19,0))))),"Захід не діє на цей тип загрози",IF(AND(INDEX('В02 Каталог'!$C$5:$C$19,MATCH(J20,'В02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IF(J20="","",IFERROR(INDEX('В02 Каталог'!$E$5:$E$19,MATCH(J20,'В02 Каталог'!$B$5:$B$19,0)),""))</f>
        <v/>
      </c>
      <c r="N20" s="22">
        <f>IF(J20="","",IFERROR(INDEX('В02 Каталог'!$C$5:$C$19,MATCH(J20,'В02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природу",IF(AND(INDEX('В02 Каталог'!$C$5:$C$19,MATCH(J21,'В02 Каталог'!$B$5:$B$19,0))="Лабораторна",F21="фізична",INDEX('В02 Каталог'!$A$5:$A$19,MATCH(J21,'В02 Каталог'!$B$5:$B$19,0))&lt;&gt;"L10"),"Мережевий захід не закриває фізичну загрозу",IF(AND(INDEX('В02 Каталог'!$C$5:$C$19,MATCH(J21,'В02 Каталог'!$B$5:$B$19,0))="Лабораторна",ISERROR(SEARCH(LEFT(D21,1),INDEX('В02 Каталог'!$D$5:$D$19,MATCH(J21,'В02 Каталог'!$B$5:$B$19,0))))),"Захід не діє на цей тип загрози",IF(AND(INDEX('В02 Каталог'!$C$5:$C$19,MATCH(J21,'В02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IF(J21="","",IFERROR(INDEX('В02 Каталог'!$E$5:$E$19,MATCH(J21,'В02 Каталог'!$B$5:$B$19,0)),""))</f>
        <v/>
      </c>
      <c r="N21" s="22">
        <f>IF(J21="","",IFERROR(INDEX('В02 Каталог'!$C$5:$C$19,MATCH(J21,'В02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природу",IF(AND(INDEX('В02 Каталог'!$C$5:$C$19,MATCH(J22,'В02 Каталог'!$B$5:$B$19,0))="Лабораторна",F22="фізична",INDEX('В02 Каталог'!$A$5:$A$19,MATCH(J22,'В02 Каталог'!$B$5:$B$19,0))&lt;&gt;"L10"),"Мережевий захід не закриває фізичну загрозу",IF(AND(INDEX('В02 Каталог'!$C$5:$C$19,MATCH(J22,'В02 Каталог'!$B$5:$B$19,0))="Лабораторна",ISERROR(SEARCH(LEFT(D22,1),INDEX('В02 Каталог'!$D$5:$D$19,MATCH(J22,'В02 Каталог'!$B$5:$B$19,0))))),"Захід не діє на цей тип загрози",IF(AND(INDEX('В02 Каталог'!$C$5:$C$19,MATCH(J22,'В02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IF(J22="","",IFERROR(INDEX('В02 Каталог'!$E$5:$E$19,MATCH(J22,'В02 Каталог'!$B$5:$B$19,0)),""))</f>
        <v/>
      </c>
      <c r="N22" s="22">
        <f>IF(J22="","",IFERROR(INDEX('В02 Каталог'!$C$5:$C$19,MATCH(J22,'В02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природу",IF(AND(INDEX('В02 Каталог'!$C$5:$C$19,MATCH(J23,'В02 Каталог'!$B$5:$B$19,0))="Лабораторна",F23="фізична",INDEX('В02 Каталог'!$A$5:$A$19,MATCH(J23,'В02 Каталог'!$B$5:$B$19,0))&lt;&gt;"L10"),"Мережевий захід не закриває фізичну загрозу",IF(AND(INDEX('В02 Каталог'!$C$5:$C$19,MATCH(J23,'В02 Каталог'!$B$5:$B$19,0))="Лабораторна",ISERROR(SEARCH(LEFT(D23,1),INDEX('В02 Каталог'!$D$5:$D$19,MATCH(J23,'В02 Каталог'!$B$5:$B$19,0))))),"Захід не діє на цей тип загрози",IF(AND(INDEX('В02 Каталог'!$C$5:$C$19,MATCH(J23,'В02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IF(J23="","",IFERROR(INDEX('В02 Каталог'!$E$5:$E$19,MATCH(J23,'В02 Каталог'!$B$5:$B$19,0)),""))</f>
        <v/>
      </c>
      <c r="N23" s="22">
        <f>IF(J23="","",IFERROR(INDEX('В02 Каталог'!$C$5:$C$19,MATCH(J23,'В02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природу",IF(AND(INDEX('В02 Каталог'!$C$5:$C$19,MATCH(J24,'В02 Каталог'!$B$5:$B$19,0))="Лабораторна",F24="фізична",INDEX('В02 Каталог'!$A$5:$A$19,MATCH(J24,'В02 Каталог'!$B$5:$B$19,0))&lt;&gt;"L10"),"Мережевий захід не закриває фізичну загрозу",IF(AND(INDEX('В02 Каталог'!$C$5:$C$19,MATCH(J24,'В02 Каталог'!$B$5:$B$19,0))="Лабораторна",ISERROR(SEARCH(LEFT(D24,1),INDEX('В02 Каталог'!$D$5:$D$19,MATCH(J24,'В02 Каталог'!$B$5:$B$19,0))))),"Захід не діє на цей тип загрози",IF(AND(INDEX('В02 Каталог'!$C$5:$C$19,MATCH(J24,'В02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IF(J24="","",IFERROR(INDEX('В02 Каталог'!$E$5:$E$19,MATCH(J24,'В02 Каталог'!$B$5:$B$19,0)),""))</f>
        <v/>
      </c>
      <c r="N24" s="22">
        <f>IF(J24="","",IFERROR(INDEX('В02 Каталог'!$C$5:$C$19,MATCH(J24,'В02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природу",IF(AND(INDEX('В02 Каталог'!$C$5:$C$19,MATCH(J25,'В02 Каталог'!$B$5:$B$19,0))="Лабораторна",F25="фізична",INDEX('В02 Каталог'!$A$5:$A$19,MATCH(J25,'В02 Каталог'!$B$5:$B$19,0))&lt;&gt;"L10"),"Мережевий захід не закриває фізичну загрозу",IF(AND(INDEX('В02 Каталог'!$C$5:$C$19,MATCH(J25,'В02 Каталог'!$B$5:$B$19,0))="Лабораторна",ISERROR(SEARCH(LEFT(D25,1),INDEX('В02 Каталог'!$D$5:$D$19,MATCH(J25,'В02 Каталог'!$B$5:$B$19,0))))),"Захід не діє на цей тип загрози",IF(AND(INDEX('В02 Каталог'!$C$5:$C$19,MATCH(J25,'В02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IF(J25="","",IFERROR(INDEX('В02 Каталог'!$E$5:$E$19,MATCH(J25,'В02 Каталог'!$B$5:$B$19,0)),""))</f>
        <v/>
      </c>
      <c r="N25" s="22">
        <f>IF(J25="","",IFERROR(INDEX('В02 Каталог'!$C$5:$C$19,MATCH(J25,'В02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природу",IF(AND(INDEX('В02 Каталог'!$C$5:$C$19,MATCH(J26,'В02 Каталог'!$B$5:$B$19,0))="Лабораторна",F26="фізична",INDEX('В02 Каталог'!$A$5:$A$19,MATCH(J26,'В02 Каталог'!$B$5:$B$19,0))&lt;&gt;"L10"),"Мережевий захід не закриває фізичну загрозу",IF(AND(INDEX('В02 Каталог'!$C$5:$C$19,MATCH(J26,'В02 Каталог'!$B$5:$B$19,0))="Лабораторна",ISERROR(SEARCH(LEFT(D26,1),INDEX('В02 Каталог'!$D$5:$D$19,MATCH(J26,'В02 Каталог'!$B$5:$B$19,0))))),"Захід не діє на цей тип загрози",IF(AND(INDEX('В02 Каталог'!$C$5:$C$19,MATCH(J26,'В02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IF(J26="","",IFERROR(INDEX('В02 Каталог'!$E$5:$E$19,MATCH(J26,'В02 Каталог'!$B$5:$B$19,0)),""))</f>
        <v/>
      </c>
      <c r="N26" s="22">
        <f>IF(J26="","",IFERROR(INDEX('В02 Каталог'!$C$5:$C$19,MATCH(J26,'В02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природу",IF(AND(INDEX('В02 Каталог'!$C$5:$C$19,MATCH(J27,'В02 Каталог'!$B$5:$B$19,0))="Лабораторна",F27="фізична",INDEX('В02 Каталог'!$A$5:$A$19,MATCH(J27,'В02 Каталог'!$B$5:$B$19,0))&lt;&gt;"L10"),"Мережевий захід не закриває фізичну загрозу",IF(AND(INDEX('В02 Каталог'!$C$5:$C$19,MATCH(J27,'В02 Каталог'!$B$5:$B$19,0))="Лабораторна",ISERROR(SEARCH(LEFT(D27,1),INDEX('В02 Каталог'!$D$5:$D$19,MATCH(J27,'В02 Каталог'!$B$5:$B$19,0))))),"Захід не діє на цей тип загрози",IF(AND(INDEX('В02 Каталог'!$C$5:$C$19,MATCH(J27,'В02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IF(J27="","",IFERROR(INDEX('В02 Каталог'!$E$5:$E$19,MATCH(J27,'В02 Каталог'!$B$5:$B$19,0)),""))</f>
        <v/>
      </c>
      <c r="N27" s="22">
        <f>IF(J27="","",IFERROR(INDEX('В02 Каталог'!$C$5:$C$19,MATCH(J27,'В02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природу",IF(AND(INDEX('В02 Каталог'!$C$5:$C$19,MATCH(J28,'В02 Каталог'!$B$5:$B$19,0))="Лабораторна",F28="фізична",INDEX('В02 Каталог'!$A$5:$A$19,MATCH(J28,'В02 Каталог'!$B$5:$B$19,0))&lt;&gt;"L10"),"Мережевий захід не закриває фізичну загрозу",IF(AND(INDEX('В02 Каталог'!$C$5:$C$19,MATCH(J28,'В02 Каталог'!$B$5:$B$19,0))="Лабораторна",ISERROR(SEARCH(LEFT(D28,1),INDEX('В02 Каталог'!$D$5:$D$19,MATCH(J28,'В02 Каталог'!$B$5:$B$19,0))))),"Захід не діє на цей тип загрози",IF(AND(INDEX('В02 Каталог'!$C$5:$C$19,MATCH(J28,'В02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IF(J28="","",IFERROR(INDEX('В02 Каталог'!$E$5:$E$19,MATCH(J28,'В02 Каталог'!$B$5:$B$19,0)),""))</f>
        <v/>
      </c>
      <c r="N28" s="22">
        <f>IF(J28="","",IFERROR(INDEX('В02 Каталог'!$C$5:$C$19,MATCH(J28,'В02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природу",IF(AND(INDEX('В02 Каталог'!$C$5:$C$19,MATCH(J29,'В02 Каталог'!$B$5:$B$19,0))="Лабораторна",F29="фізична",INDEX('В02 Каталог'!$A$5:$A$19,MATCH(J29,'В02 Каталог'!$B$5:$B$19,0))&lt;&gt;"L10"),"Мережевий захід не закриває фізичну загрозу",IF(AND(INDEX('В02 Каталог'!$C$5:$C$19,MATCH(J29,'В02 Каталог'!$B$5:$B$19,0))="Лабораторна",ISERROR(SEARCH(LEFT(D29,1),INDEX('В02 Каталог'!$D$5:$D$19,MATCH(J29,'В02 Каталог'!$B$5:$B$19,0))))),"Захід не діє на цей тип загрози",IF(AND(INDEX('В02 Каталог'!$C$5:$C$19,MATCH(J29,'В02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IF(J29="","",IFERROR(INDEX('В02 Каталог'!$E$5:$E$19,MATCH(J29,'В02 Каталог'!$B$5:$B$19,0)),""))</f>
        <v/>
      </c>
      <c r="N29" s="22">
        <f>IF(J29="","",IFERROR(INDEX('В02 Каталог'!$C$5:$C$19,MATCH(J29,'В02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природу",IF(AND(INDEX('В02 Каталог'!$C$5:$C$19,MATCH(J30,'В02 Каталог'!$B$5:$B$19,0))="Лабораторна",F30="фізична",INDEX('В02 Каталог'!$A$5:$A$19,MATCH(J30,'В02 Каталог'!$B$5:$B$19,0))&lt;&gt;"L10"),"Мережевий захід не закриває фізичну загрозу",IF(AND(INDEX('В02 Каталог'!$C$5:$C$19,MATCH(J30,'В02 Каталог'!$B$5:$B$19,0))="Лабораторна",ISERROR(SEARCH(LEFT(D30,1),INDEX('В02 Каталог'!$D$5:$D$19,MATCH(J30,'В02 Каталог'!$B$5:$B$19,0))))),"Захід не діє на цей тип загрози",IF(AND(INDEX('В02 Каталог'!$C$5:$C$19,MATCH(J30,'В02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IF(J30="","",IFERROR(INDEX('В02 Каталог'!$E$5:$E$19,MATCH(J30,'В02 Каталог'!$B$5:$B$19,0)),""))</f>
        <v/>
      </c>
      <c r="N30" s="22">
        <f>IF(J30="","",IFERROR(INDEX('В02 Каталог'!$C$5:$C$19,MATCH(J30,'В02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природу",IF(AND(INDEX('В02 Каталог'!$C$5:$C$19,MATCH(J31,'В02 Каталог'!$B$5:$B$19,0))="Лабораторна",F31="фізична",INDEX('В02 Каталог'!$A$5:$A$19,MATCH(J31,'В02 Каталог'!$B$5:$B$19,0))&lt;&gt;"L10"),"Мережевий захід не закриває фізичну загрозу",IF(AND(INDEX('В02 Каталог'!$C$5:$C$19,MATCH(J31,'В02 Каталог'!$B$5:$B$19,0))="Лабораторна",ISERROR(SEARCH(LEFT(D31,1),INDEX('В02 Каталог'!$D$5:$D$19,MATCH(J31,'В02 Каталог'!$B$5:$B$19,0))))),"Захід не діє на цей тип загрози",IF(AND(INDEX('В02 Каталог'!$C$5:$C$19,MATCH(J31,'В02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IF(J31="","",IFERROR(INDEX('В02 Каталог'!$E$5:$E$19,MATCH(J31,'В02 Каталог'!$B$5:$B$19,0)),""))</f>
        <v/>
      </c>
      <c r="N31" s="22">
        <f>IF(J31="","",IFERROR(INDEX('В02 Каталог'!$C$5:$C$19,MATCH(J31,'В02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природу",IF(AND(INDEX('В02 Каталог'!$C$5:$C$19,MATCH(J32,'В02 Каталог'!$B$5:$B$19,0))="Лабораторна",F32="фізична",INDEX('В02 Каталог'!$A$5:$A$19,MATCH(J32,'В02 Каталог'!$B$5:$B$19,0))&lt;&gt;"L10"),"Мережевий захід не закриває фізичну загрозу",IF(AND(INDEX('В02 Каталог'!$C$5:$C$19,MATCH(J32,'В02 Каталог'!$B$5:$B$19,0))="Лабораторна",ISERROR(SEARCH(LEFT(D32,1),INDEX('В02 Каталог'!$D$5:$D$19,MATCH(J32,'В02 Каталог'!$B$5:$B$19,0))))),"Захід не діє на цей тип загрози",IF(AND(INDEX('В02 Каталог'!$C$5:$C$19,MATCH(J32,'В02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IF(J32="","",IFERROR(INDEX('В02 Каталог'!$E$5:$E$19,MATCH(J32,'В02 Каталог'!$B$5:$B$19,0)),""))</f>
        <v/>
      </c>
      <c r="N32" s="22">
        <f>IF(J32="","",IFERROR(INDEX('В02 Каталог'!$C$5:$C$19,MATCH(J32,'В02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природу",IF(AND(INDEX('В02 Каталог'!$C$5:$C$19,MATCH(J33,'В02 Каталог'!$B$5:$B$19,0))="Лабораторна",F33="фізична",INDEX('В02 Каталог'!$A$5:$A$19,MATCH(J33,'В02 Каталог'!$B$5:$B$19,0))&lt;&gt;"L10"),"Мережевий захід не закриває фізичну загрозу",IF(AND(INDEX('В02 Каталог'!$C$5:$C$19,MATCH(J33,'В02 Каталог'!$B$5:$B$19,0))="Лабораторна",ISERROR(SEARCH(LEFT(D33,1),INDEX('В02 Каталог'!$D$5:$D$19,MATCH(J33,'В02 Каталог'!$B$5:$B$19,0))))),"Захід не діє на цей тип загрози",IF(AND(INDEX('В02 Каталог'!$C$5:$C$19,MATCH(J33,'В02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IF(J33="","",IFERROR(INDEX('В02 Каталог'!$E$5:$E$19,MATCH(J33,'В02 Каталог'!$B$5:$B$19,0)),""))</f>
        <v/>
      </c>
      <c r="N33" s="22">
        <f>IF(J33="","",IFERROR(INDEX('В02 Каталог'!$C$5:$C$19,MATCH(J33,'В02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природу",IF(AND(INDEX('В02 Каталог'!$C$5:$C$19,MATCH(J34,'В02 Каталог'!$B$5:$B$19,0))="Лабораторна",F34="фізична",INDEX('В02 Каталог'!$A$5:$A$19,MATCH(J34,'В02 Каталог'!$B$5:$B$19,0))&lt;&gt;"L10"),"Мережевий захід не закриває фізичну загрозу",IF(AND(INDEX('В02 Каталог'!$C$5:$C$19,MATCH(J34,'В02 Каталог'!$B$5:$B$19,0))="Лабораторна",ISERROR(SEARCH(LEFT(D34,1),INDEX('В02 Каталог'!$D$5:$D$19,MATCH(J34,'В02 Каталог'!$B$5:$B$19,0))))),"Захід не діє на цей тип загрози",IF(AND(INDEX('В02 Каталог'!$C$5:$C$19,MATCH(J34,'В02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IF(J34="","",IFERROR(INDEX('В02 Каталог'!$E$5:$E$19,MATCH(J34,'В02 Каталог'!$B$5:$B$19,0)),""))</f>
        <v/>
      </c>
      <c r="N34" s="22">
        <f>IF(J34="","",IFERROR(INDEX('В02 Каталог'!$C$5:$C$19,MATCH(J34,'В02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='В02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='В02 Каталог'!$B$5:$B$19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2"/>
    <row r="3"/>
    <row r="4">
      <c r="A4" s="23" t="inlineStr">
        <is>
          <t>Загроз у таблиці</t>
        </is>
      </c>
      <c r="B4" s="24">
        <f>COUNTA('В02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COUNTIF('В02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COUNTIF('В02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COUNTIF('В02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COUNTIF('В02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COUNTIF('В02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COUNTIF('В02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COUNTIF('В02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COUNTIF('В02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COUNTIF('В02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COUNTIF('В02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COUNTIF('В02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COUNTIF('В02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COUNTIF('В02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SUMPRODUCT(('В02 Загрози і заходи'!I5:I34="Так")*('В02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COUNTIFS('В02 Загрози і заходи'!I5:I34,"Так",'В02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COUNTIF('В02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75B6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3"/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n"/>
      <c r="B5" s="11" t="n"/>
      <c r="C5" s="11" t="n"/>
      <c r="D5" s="11" t="n"/>
    </row>
    <row r="6" ht="70" customHeight="1">
      <c r="A6" s="11" t="n"/>
      <c r="B6" s="11" t="n"/>
      <c r="C6" s="11" t="n"/>
      <c r="D6" s="11" t="n"/>
    </row>
    <row r="7" ht="70" customHeight="1">
      <c r="A7" s="11" t="n"/>
      <c r="B7" s="11" t="n"/>
      <c r="C7" s="11" t="n"/>
      <c r="D7" s="11" t="n"/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1"/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n"/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55A11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03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55A11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03</t>
        </is>
      </c>
    </row>
    <row r="2"/>
    <row r="3">
      <c r="A3" s="10" t="inlineStr">
        <is>
          <t>Студент (прізвище)</t>
        </is>
      </c>
      <c r="B3" s="11" t="n"/>
    </row>
    <row r="4">
      <c r="A4" s="10" t="inlineStr">
        <is>
          <t>Точка прийому</t>
        </is>
      </c>
      <c r="B4" s="12" t="inlineStr">
        <is>
          <t>стаціонарний POS-термінал на касі</t>
        </is>
      </c>
    </row>
    <row r="5">
      <c r="A5" s="10" t="inlineStr">
        <is>
          <t>Підключення точки до мережі</t>
        </is>
      </c>
      <c r="B5" s="12" t="inlineStr">
        <is>
          <t>Ethernet-кабель усередині будівлі</t>
        </is>
      </c>
    </row>
    <row r="6">
      <c r="A6" s="10" t="inlineStr">
        <is>
          <t>Зв'язок відділення зі шлюзом</t>
        </is>
      </c>
      <c r="B6" s="12" t="inlineStr">
        <is>
          <t>Інтернет із налаштованим IPsec VPN</t>
        </is>
      </c>
    </row>
    <row r="7">
      <c r="A7" s="10" t="inlineStr">
        <is>
          <t>Особливий учасник</t>
        </is>
      </c>
      <c r="B7" s="12" t="inlineStr">
        <is>
          <t>сервісна компанія терміналів: віддалене оновлення прошивки й діагностика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0"/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n"/>
      <c r="C13" s="15">
        <f>A13&amp;". "&amp;B13</f>
        <v/>
      </c>
    </row>
    <row r="14">
      <c r="A14" s="15" t="inlineStr">
        <is>
          <t>M2</t>
        </is>
      </c>
      <c r="B14" s="11" t="n"/>
      <c r="C14" s="15">
        <f>A14&amp;". "&amp;B14</f>
        <v/>
      </c>
    </row>
    <row r="15">
      <c r="A15" s="15" t="inlineStr">
        <is>
          <t>M3</t>
        </is>
      </c>
      <c r="B15" s="11" t="n"/>
      <c r="C15" s="15">
        <f>A15&amp;". "&amp;B15</f>
        <v/>
      </c>
    </row>
    <row r="16">
      <c r="A16" s="15" t="inlineStr">
        <is>
          <t>M4</t>
        </is>
      </c>
      <c r="B16" s="11" t="n"/>
      <c r="C16" s="15">
        <f>A16&amp;". "&amp;B16</f>
        <v/>
      </c>
    </row>
    <row r="17">
      <c r="A17" s="15" t="inlineStr">
        <is>
          <t>M5</t>
        </is>
      </c>
      <c r="B17" s="11" t="n"/>
      <c r="C17" s="15">
        <f>A17&amp;". "&amp;B17</f>
        <v/>
      </c>
    </row>
    <row r="18">
      <c r="A18" s="15" t="inlineStr">
        <is>
          <t>M6</t>
        </is>
      </c>
      <c r="B18" s="11" t="n"/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55A11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3"/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55A11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3"/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M5</t>
        </is>
      </c>
      <c r="C5" s="15" t="inlineStr">
        <is>
          <t>S — підміна</t>
        </is>
      </c>
      <c r="D5" s="15" t="inlineStr">
        <is>
          <t>Підроблений запит до АБС від зламаного шлюзу чи від ПК відділення</t>
        </is>
      </c>
      <c r="E5" s="15" t="inlineStr">
        <is>
          <t>мережева</t>
        </is>
      </c>
      <c r="F5" s="15" t="n">
        <v>3</v>
      </c>
      <c r="G5" s="15" t="inlineStr">
        <is>
          <t>ЛР5. Міжмережевий екран ASA: зони й NAT</t>
        </is>
      </c>
    </row>
    <row r="6">
      <c r="A6" s="15" t="n">
        <v>2</v>
      </c>
      <c r="B6" s="15" t="inlineStr">
        <is>
          <t>M4</t>
        </is>
      </c>
      <c r="C6" s="15" t="inlineStr">
        <is>
          <t>T — зміна даних</t>
        </is>
      </c>
      <c r="D6" s="15" t="inlineStr">
        <is>
          <t>Перехоплення платіжного трафіку в каналі: зловмисник читає передані дані</t>
        </is>
      </c>
      <c r="E6" s="15" t="inlineStr">
        <is>
          <t>мережева</t>
        </is>
      </c>
      <c r="F6" s="15" t="n">
        <v>3</v>
      </c>
      <c r="G6" s="15" t="inlineStr">
        <is>
          <t>ЛР7. IPsec VPN між відділенням і головним офісом</t>
        </is>
      </c>
    </row>
    <row r="7">
      <c r="A7" s="15" t="n">
        <v>3</v>
      </c>
      <c r="B7" s="15" t="inlineStr">
        <is>
          <t>M1</t>
        </is>
      </c>
      <c r="C7" s="15" t="inlineStr">
        <is>
          <t>T — зміна даних</t>
        </is>
      </c>
      <c r="D7" s="15" t="inlineStr">
        <is>
          <t>Скімер на POS-термінала на касі: копіює дані картки</t>
        </is>
      </c>
      <c r="E7" s="15" t="inlineStr">
        <is>
          <t>фізична</t>
        </is>
      </c>
      <c r="F7" s="15" t="n">
        <v>3</v>
      </c>
      <c r="G7" s="15" t="inlineStr">
        <is>
          <t>ЛР1. Сегментація VLAN і маршрутизація між ними</t>
        </is>
      </c>
    </row>
    <row r="8">
      <c r="A8" s="15" t="n">
        <v>4</v>
      </c>
      <c r="B8" s="15" t="inlineStr">
        <is>
          <t>M5</t>
        </is>
      </c>
      <c r="C8" s="15" t="inlineStr">
        <is>
          <t>R — відмова від дій</t>
        </is>
      </c>
      <c r="D8" s="15" t="inlineStr">
        <is>
          <t>Шлюз не зберігає журнал: після шахрайства неможливо відновити послідовність подій</t>
        </is>
      </c>
      <c r="E8" s="15" t="inlineStr">
        <is>
          <t>мережева</t>
        </is>
      </c>
      <c r="F8" s="15" t="n">
        <v>2</v>
      </c>
      <c r="G8" s="15" t="inlineStr">
        <is>
          <t>ЛР10. Syslog, NTP і моніторинг (лише виявляє)</t>
        </is>
      </c>
    </row>
    <row r="9">
      <c r="A9" s="15" t="n">
        <v>5</v>
      </c>
      <c r="B9" s="15" t="inlineStr">
        <is>
          <t>M1</t>
        </is>
      </c>
      <c r="C9" s="15" t="inlineStr">
        <is>
          <t>R — відмова від дій</t>
        </is>
      </c>
      <c r="D9" s="15" t="inlineStr">
        <is>
          <t>Клієнт заперечує операцію, а повного журналу з точним часом немає</t>
        </is>
      </c>
      <c r="E9" s="15" t="inlineStr">
        <is>
          <t>організаційна</t>
        </is>
      </c>
      <c r="F9" s="15" t="n">
        <v>2</v>
      </c>
      <c r="G9" s="15" t="inlineStr">
        <is>
          <t>ЛР10. Syslog, NTP і моніторинг (лише виявляє)</t>
        </is>
      </c>
    </row>
    <row r="10">
      <c r="A10" s="15" t="n">
        <v>6</v>
      </c>
      <c r="B10" s="15" t="inlineStr">
        <is>
          <t>M2</t>
        </is>
      </c>
      <c r="C10" s="15" t="inlineStr">
        <is>
          <t>T — зміна даних</t>
        </is>
      </c>
      <c r="D10" s="15" t="inlineStr">
        <is>
          <t>Підробний DHCP-сервер видає терміналу чужий шлюз і перехоплює платіжний трафік</t>
        </is>
      </c>
      <c r="E10" s="15" t="inlineStr">
        <is>
          <t>мережева</t>
        </is>
      </c>
      <c r="F10" s="15" t="n">
        <v>2</v>
      </c>
      <c r="G10" s="15" t="inlineStr">
        <is>
          <t>ЛР3. DHCP Snooping</t>
        </is>
      </c>
    </row>
    <row r="11">
      <c r="A11" s="15" t="n">
        <v>7</v>
      </c>
      <c r="B11" s="15" t="inlineStr">
        <is>
          <t>M3</t>
        </is>
      </c>
      <c r="C11" s="15" t="inlineStr">
        <is>
          <t>T — зміна даних</t>
        </is>
      </c>
      <c r="D11" s="15" t="inlineStr">
        <is>
          <t>Встановити IPsec VPN і міжмережевий екран між відділенням і шлюзом</t>
        </is>
      </c>
      <c r="E11" s="15" t="inlineStr">
        <is>
          <t>мережева</t>
        </is>
      </c>
      <c r="F11" s="15" t="n">
        <v>3</v>
      </c>
      <c r="G11" s="15" t="inlineStr">
        <is>
          <t>ЛР7. IPsec VPN між відділенням і головним офісом</t>
        </is>
      </c>
    </row>
    <row r="12"/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n"/>
      <c r="B15" s="11" t="n"/>
      <c r="C15" s="11" t="n"/>
      <c r="D15" s="19" t="n"/>
      <c r="E15" s="19" t="n"/>
      <c r="F15" s="19" t="n"/>
      <c r="G15" s="20" t="n"/>
    </row>
    <row r="16">
      <c r="A16" s="11" t="n"/>
      <c r="B16" s="11" t="n"/>
      <c r="C16" s="11" t="n"/>
      <c r="D16" s="19" t="n"/>
      <c r="E16" s="19" t="n"/>
      <c r="F16" s="19" t="n"/>
      <c r="G16" s="20" t="n"/>
    </row>
    <row r="17">
      <c r="A17" s="11" t="n"/>
      <c r="B17" s="11" t="n"/>
      <c r="C17" s="11" t="n"/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55A11"/>
    <outlinePr summaryBelow="1" summaryRight="1"/>
    <pageSetUpPr/>
  </sheetPr>
  <dimension ref="A1:O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3"/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n"/>
      <c r="C5" s="11" t="n"/>
      <c r="D5" s="21" t="n"/>
      <c r="E5" s="11" t="n"/>
      <c r="F5" s="21" t="n"/>
      <c r="G5" s="21" t="n"/>
      <c r="H5" s="11" t="n"/>
      <c r="I5" s="21" t="n"/>
      <c r="J5" s="11" t="n"/>
      <c r="K5" s="11" t="n"/>
      <c r="L5" s="15">
        <f>IF(I5&lt;&gt;"Так","",IF(J5="","Оберіть захід",IF(K5="","Вкажіть, де в мережі",IF(D5="","Оберіть літеру STRIDE",IF(F5="","Вкажіть природу",IF(AND(INDEX('В03 Каталог'!$C$5:$C$19,MATCH(J5,'В03 Каталог'!$B$5:$B$19,0))="Лабораторна",F5="фізична",INDEX('В03 Каталог'!$A$5:$A$19,MATCH(J5,'В03 Каталог'!$B$5:$B$19,0))&lt;&gt;"L10"),"Мережевий захід не закриває фізичну загрозу",IF(AND(INDEX('В03 Каталог'!$C$5:$C$19,MATCH(J5,'В03 Каталог'!$B$5:$B$19,0))="Лабораторна",ISERROR(SEARCH(LEFT(D5,1),INDEX('В03 Каталог'!$D$5:$D$19,MATCH(J5,'В03 Каталог'!$B$5:$B$19,0))))),"Захід не діє на цей тип загрози",IF(AND(INDEX('В03 Каталог'!$C$5:$C$19,MATCH(J5,'В03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IF(J5="","",IFERROR(INDEX('В03 Каталог'!$E$5:$E$19,MATCH(J5,'В03 Каталог'!$B$5:$B$19,0)),""))</f>
        <v/>
      </c>
      <c r="N5" s="22">
        <f>IF(J5="","",IFERROR(INDEX('В03 Каталог'!$C$5:$C$19,MATCH(J5,'В03 Каталог'!$B$5:$B$19,0)),""))</f>
        <v/>
      </c>
      <c r="O5" s="21" t="n"/>
    </row>
    <row r="6">
      <c r="A6" s="15" t="n">
        <v>2</v>
      </c>
      <c r="B6" s="11" t="n"/>
      <c r="C6" s="11" t="n"/>
      <c r="D6" s="21" t="n"/>
      <c r="E6" s="11" t="n"/>
      <c r="F6" s="21" t="n"/>
      <c r="G6" s="21" t="n"/>
      <c r="H6" s="11" t="n"/>
      <c r="I6" s="21" t="n"/>
      <c r="J6" s="11" t="n"/>
      <c r="K6" s="11" t="n"/>
      <c r="L6" s="15">
        <f>IF(I6&lt;&gt;"Так","",IF(J6="","Оберіть захід",IF(K6="","Вкажіть, де в мережі",IF(D6="","Оберіть літеру STRIDE",IF(F6="","Вкажіть природу",IF(AND(INDEX('В03 Каталог'!$C$5:$C$19,MATCH(J6,'В03 Каталог'!$B$5:$B$19,0))="Лабораторна",F6="фізична",INDEX('В03 Каталог'!$A$5:$A$19,MATCH(J6,'В03 Каталог'!$B$5:$B$19,0))&lt;&gt;"L10"),"Мережевий захід не закриває фізичну загрозу",IF(AND(INDEX('В03 Каталог'!$C$5:$C$19,MATCH(J6,'В03 Каталог'!$B$5:$B$19,0))="Лабораторна",ISERROR(SEARCH(LEFT(D6,1),INDEX('В03 Каталог'!$D$5:$D$19,MATCH(J6,'В03 Каталог'!$B$5:$B$19,0))))),"Захід не діє на цей тип загрози",IF(AND(INDEX('В03 Каталог'!$C$5:$C$19,MATCH(J6,'В03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IF(J6="","",IFERROR(INDEX('В03 Каталог'!$E$5:$E$19,MATCH(J6,'В03 Каталог'!$B$5:$B$19,0)),""))</f>
        <v/>
      </c>
      <c r="N6" s="22">
        <f>IF(J6="","",IFERROR(INDEX('В03 Каталог'!$C$5:$C$19,MATCH(J6,'В03 Каталог'!$B$5:$B$19,0)),""))</f>
        <v/>
      </c>
      <c r="O6" s="21" t="n"/>
    </row>
    <row r="7">
      <c r="A7" s="15" t="n">
        <v>3</v>
      </c>
      <c r="B7" s="11" t="n"/>
      <c r="C7" s="11" t="n"/>
      <c r="D7" s="21" t="n"/>
      <c r="E7" s="11" t="n"/>
      <c r="F7" s="21" t="n"/>
      <c r="G7" s="21" t="n"/>
      <c r="H7" s="11" t="n"/>
      <c r="I7" s="21" t="n"/>
      <c r="J7" s="11" t="n"/>
      <c r="K7" s="11" t="n"/>
      <c r="L7" s="15">
        <f>IF(I7&lt;&gt;"Так","",IF(J7="","Оберіть захід",IF(K7="","Вкажіть, де в мережі",IF(D7="","Оберіть літеру STRIDE",IF(F7="","Вкажіть природу",IF(AND(INDEX('В03 Каталог'!$C$5:$C$19,MATCH(J7,'В03 Каталог'!$B$5:$B$19,0))="Лабораторна",F7="фізична",INDEX('В03 Каталог'!$A$5:$A$19,MATCH(J7,'В03 Каталог'!$B$5:$B$19,0))&lt;&gt;"L10"),"Мережевий захід не закриває фізичну загрозу",IF(AND(INDEX('В03 Каталог'!$C$5:$C$19,MATCH(J7,'В03 Каталог'!$B$5:$B$19,0))="Лабораторна",ISERROR(SEARCH(LEFT(D7,1),INDEX('В03 Каталог'!$D$5:$D$19,MATCH(J7,'В03 Каталог'!$B$5:$B$19,0))))),"Захід не діє на цей тип загрози",IF(AND(INDEX('В03 Каталог'!$C$5:$C$19,MATCH(J7,'В03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IF(J7="","",IFERROR(INDEX('В03 Каталог'!$E$5:$E$19,MATCH(J7,'В03 Каталог'!$B$5:$B$19,0)),""))</f>
        <v/>
      </c>
      <c r="N7" s="22">
        <f>IF(J7="","",IFERROR(INDEX('В03 Каталог'!$C$5:$C$19,MATCH(J7,'В03 Каталог'!$B$5:$B$19,0)),""))</f>
        <v/>
      </c>
      <c r="O7" s="21" t="n"/>
    </row>
    <row r="8">
      <c r="A8" s="15" t="n">
        <v>4</v>
      </c>
      <c r="B8" s="11" t="n"/>
      <c r="C8" s="11" t="n"/>
      <c r="D8" s="21" t="n"/>
      <c r="E8" s="11" t="n"/>
      <c r="F8" s="21" t="n"/>
      <c r="G8" s="21" t="n"/>
      <c r="H8" s="11" t="n"/>
      <c r="I8" s="21" t="n"/>
      <c r="J8" s="11" t="n"/>
      <c r="K8" s="11" t="n"/>
      <c r="L8" s="15">
        <f>IF(I8&lt;&gt;"Так","",IF(J8="","Оберіть захід",IF(K8="","Вкажіть, де в мережі",IF(D8="","Оберіть літеру STRIDE",IF(F8="","Вкажіть природу",IF(AND(INDEX('В03 Каталог'!$C$5:$C$19,MATCH(J8,'В03 Каталог'!$B$5:$B$19,0))="Лабораторна",F8="фізична",INDEX('В03 Каталог'!$A$5:$A$19,MATCH(J8,'В03 Каталог'!$B$5:$B$19,0))&lt;&gt;"L10"),"Мережевий захід не закриває фізичну загрозу",IF(AND(INDEX('В03 Каталог'!$C$5:$C$19,MATCH(J8,'В03 Каталог'!$B$5:$B$19,0))="Лабораторна",ISERROR(SEARCH(LEFT(D8,1),INDEX('В03 Каталог'!$D$5:$D$19,MATCH(J8,'В03 Каталог'!$B$5:$B$19,0))))),"Захід не діє на цей тип загрози",IF(AND(INDEX('В03 Каталог'!$C$5:$C$19,MATCH(J8,'В03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IF(J8="","",IFERROR(INDEX('В03 Каталог'!$E$5:$E$19,MATCH(J8,'В03 Каталог'!$B$5:$B$19,0)),""))</f>
        <v/>
      </c>
      <c r="N8" s="22">
        <f>IF(J8="","",IFERROR(INDEX('В03 Каталог'!$C$5:$C$19,MATCH(J8,'В03 Каталог'!$B$5:$B$19,0)),""))</f>
        <v/>
      </c>
      <c r="O8" s="21" t="n"/>
    </row>
    <row r="9">
      <c r="A9" s="15" t="n">
        <v>5</v>
      </c>
      <c r="B9" s="11" t="n"/>
      <c r="C9" s="11" t="n"/>
      <c r="D9" s="21" t="n"/>
      <c r="E9" s="11" t="n"/>
      <c r="F9" s="21" t="n"/>
      <c r="G9" s="21" t="n"/>
      <c r="H9" s="11" t="n"/>
      <c r="I9" s="21" t="n"/>
      <c r="J9" s="11" t="n"/>
      <c r="K9" s="11" t="n"/>
      <c r="L9" s="15">
        <f>IF(I9&lt;&gt;"Так","",IF(J9="","Оберіть захід",IF(K9="","Вкажіть, де в мережі",IF(D9="","Оберіть літеру STRIDE",IF(F9="","Вкажіть природу",IF(AND(INDEX('В03 Каталог'!$C$5:$C$19,MATCH(J9,'В03 Каталог'!$B$5:$B$19,0))="Лабораторна",F9="фізична",INDEX('В03 Каталог'!$A$5:$A$19,MATCH(J9,'В03 Каталог'!$B$5:$B$19,0))&lt;&gt;"L10"),"Мережевий захід не закриває фізичну загрозу",IF(AND(INDEX('В03 Каталог'!$C$5:$C$19,MATCH(J9,'В03 Каталог'!$B$5:$B$19,0))="Лабораторна",ISERROR(SEARCH(LEFT(D9,1),INDEX('В03 Каталог'!$D$5:$D$19,MATCH(J9,'В03 Каталог'!$B$5:$B$19,0))))),"Захід не діє на цей тип загрози",IF(AND(INDEX('В03 Каталог'!$C$5:$C$19,MATCH(J9,'В03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IF(J9="","",IFERROR(INDEX('В03 Каталог'!$E$5:$E$19,MATCH(J9,'В03 Каталог'!$B$5:$B$19,0)),""))</f>
        <v/>
      </c>
      <c r="N9" s="22">
        <f>IF(J9="","",IFERROR(INDEX('В03 Каталог'!$C$5:$C$19,MATCH(J9,'В03 Каталог'!$B$5:$B$19,0)),""))</f>
        <v/>
      </c>
      <c r="O9" s="21" t="n"/>
    </row>
    <row r="10">
      <c r="A10" s="15" t="n">
        <v>6</v>
      </c>
      <c r="B10" s="11" t="n"/>
      <c r="C10" s="11" t="n"/>
      <c r="D10" s="21" t="n"/>
      <c r="E10" s="11" t="n"/>
      <c r="F10" s="21" t="n"/>
      <c r="G10" s="21" t="n"/>
      <c r="H10" s="11" t="n"/>
      <c r="I10" s="21" t="n"/>
      <c r="J10" s="11" t="n"/>
      <c r="K10" s="11" t="n"/>
      <c r="L10" s="15">
        <f>IF(I10&lt;&gt;"Так","",IF(J10="","Оберіть захід",IF(K10="","Вкажіть, де в мережі",IF(D10="","Оберіть літеру STRIDE",IF(F10="","Вкажіть природу",IF(AND(INDEX('В03 Каталог'!$C$5:$C$19,MATCH(J10,'В03 Каталог'!$B$5:$B$19,0))="Лабораторна",F10="фізична",INDEX('В03 Каталог'!$A$5:$A$19,MATCH(J10,'В03 Каталог'!$B$5:$B$19,0))&lt;&gt;"L10"),"Мережевий захід не закриває фізичну загрозу",IF(AND(INDEX('В03 Каталог'!$C$5:$C$19,MATCH(J10,'В03 Каталог'!$B$5:$B$19,0))="Лабораторна",ISERROR(SEARCH(LEFT(D10,1),INDEX('В03 Каталог'!$D$5:$D$19,MATCH(J10,'В03 Каталог'!$B$5:$B$19,0))))),"Захід не діє на цей тип загрози",IF(AND(INDEX('В03 Каталог'!$C$5:$C$19,MATCH(J10,'В03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IF(J10="","",IFERROR(INDEX('В03 Каталог'!$E$5:$E$19,MATCH(J10,'В03 Каталог'!$B$5:$B$19,0)),""))</f>
        <v/>
      </c>
      <c r="N10" s="22">
        <f>IF(J10="","",IFERROR(INDEX('В03 Каталог'!$C$5:$C$19,MATCH(J10,'В03 Каталог'!$B$5:$B$19,0)),""))</f>
        <v/>
      </c>
      <c r="O10" s="21" t="n"/>
    </row>
    <row r="11">
      <c r="A11" s="15" t="n">
        <v>7</v>
      </c>
      <c r="B11" s="11" t="n"/>
      <c r="C11" s="11" t="n"/>
      <c r="D11" s="21" t="n"/>
      <c r="E11" s="11" t="n"/>
      <c r="F11" s="21" t="n"/>
      <c r="G11" s="21" t="n"/>
      <c r="H11" s="11" t="n"/>
      <c r="I11" s="21" t="n"/>
      <c r="J11" s="11" t="n"/>
      <c r="K11" s="11" t="n"/>
      <c r="L11" s="15">
        <f>IF(I11&lt;&gt;"Так","",IF(J11="","Оберіть захід",IF(K11="","Вкажіть, де в мережі",IF(D11="","Оберіть літеру STRIDE",IF(F11="","Вкажіть природу",IF(AND(INDEX('В03 Каталог'!$C$5:$C$19,MATCH(J11,'В03 Каталог'!$B$5:$B$19,0))="Лабораторна",F11="фізична",INDEX('В03 Каталог'!$A$5:$A$19,MATCH(J11,'В03 Каталог'!$B$5:$B$19,0))&lt;&gt;"L10"),"Мережевий захід не закриває фізичну загрозу",IF(AND(INDEX('В03 Каталог'!$C$5:$C$19,MATCH(J11,'В03 Каталог'!$B$5:$B$19,0))="Лабораторна",ISERROR(SEARCH(LEFT(D11,1),INDEX('В03 Каталог'!$D$5:$D$19,MATCH(J11,'В03 Каталог'!$B$5:$B$19,0))))),"Захід не діє на цей тип загрози",IF(AND(INDEX('В03 Каталог'!$C$5:$C$19,MATCH(J11,'В03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IF(J11="","",IFERROR(INDEX('В03 Каталог'!$E$5:$E$19,MATCH(J11,'В03 Каталог'!$B$5:$B$19,0)),""))</f>
        <v/>
      </c>
      <c r="N11" s="22">
        <f>IF(J11="","",IFERROR(INDEX('В03 Каталог'!$C$5:$C$19,MATCH(J11,'В03 Каталог'!$B$5:$B$19,0)),""))</f>
        <v/>
      </c>
      <c r="O11" s="21" t="n"/>
    </row>
    <row r="12">
      <c r="A12" s="15" t="n">
        <v>8</v>
      </c>
      <c r="B12" s="11" t="n"/>
      <c r="C12" s="11" t="n"/>
      <c r="D12" s="21" t="n"/>
      <c r="E12" s="11" t="n"/>
      <c r="F12" s="21" t="n"/>
      <c r="G12" s="21" t="n"/>
      <c r="H12" s="11" t="n"/>
      <c r="I12" s="21" t="n"/>
      <c r="J12" s="11" t="n"/>
      <c r="K12" s="11" t="n"/>
      <c r="L12" s="15">
        <f>IF(I12&lt;&gt;"Так","",IF(J12="","Оберіть захід",IF(K12="","Вкажіть, де в мережі",IF(D12="","Оберіть літеру STRIDE",IF(F12="","Вкажіть природу",IF(AND(INDEX('В03 Каталог'!$C$5:$C$19,MATCH(J12,'В03 Каталог'!$B$5:$B$19,0))="Лабораторна",F12="фізична",INDEX('В03 Каталог'!$A$5:$A$19,MATCH(J12,'В03 Каталог'!$B$5:$B$19,0))&lt;&gt;"L10"),"Мережевий захід не закриває фізичну загрозу",IF(AND(INDEX('В03 Каталог'!$C$5:$C$19,MATCH(J12,'В03 Каталог'!$B$5:$B$19,0))="Лабораторна",ISERROR(SEARCH(LEFT(D12,1),INDEX('В03 Каталог'!$D$5:$D$19,MATCH(J12,'В03 Каталог'!$B$5:$B$19,0))))),"Захід не діє на цей тип загрози",IF(AND(INDEX('В03 Каталог'!$C$5:$C$19,MATCH(J12,'В03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IF(J12="","",IFERROR(INDEX('В03 Каталог'!$E$5:$E$19,MATCH(J12,'В03 Каталог'!$B$5:$B$19,0)),""))</f>
        <v/>
      </c>
      <c r="N12" s="22">
        <f>IF(J12="","",IFERROR(INDEX('В03 Каталог'!$C$5:$C$19,MATCH(J12,'В03 Каталог'!$B$5:$B$19,0)),""))</f>
        <v/>
      </c>
      <c r="O12" s="21" t="n"/>
    </row>
    <row r="13">
      <c r="A13" s="15" t="n">
        <v>9</v>
      </c>
      <c r="B13" s="11" t="n"/>
      <c r="C13" s="11" t="n"/>
      <c r="D13" s="21" t="n"/>
      <c r="E13" s="11" t="n"/>
      <c r="F13" s="21" t="n"/>
      <c r="G13" s="21" t="n"/>
      <c r="H13" s="11" t="n"/>
      <c r="I13" s="21" t="n"/>
      <c r="J13" s="11" t="n"/>
      <c r="K13" s="11" t="n"/>
      <c r="L13" s="15">
        <f>IF(I13&lt;&gt;"Так","",IF(J13="","Оберіть захід",IF(K13="","Вкажіть, де в мережі",IF(D13="","Оберіть літеру STRIDE",IF(F13="","Вкажіть природу",IF(AND(INDEX('В03 Каталог'!$C$5:$C$19,MATCH(J13,'В03 Каталог'!$B$5:$B$19,0))="Лабораторна",F13="фізична",INDEX('В03 Каталог'!$A$5:$A$19,MATCH(J13,'В03 Каталог'!$B$5:$B$19,0))&lt;&gt;"L10"),"Мережевий захід не закриває фізичну загрозу",IF(AND(INDEX('В03 Каталог'!$C$5:$C$19,MATCH(J13,'В03 Каталог'!$B$5:$B$19,0))="Лабораторна",ISERROR(SEARCH(LEFT(D13,1),INDEX('В03 Каталог'!$D$5:$D$19,MATCH(J13,'В03 Каталог'!$B$5:$B$19,0))))),"Захід не діє на цей тип загрози",IF(AND(INDEX('В03 Каталог'!$C$5:$C$19,MATCH(J13,'В03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IF(J13="","",IFERROR(INDEX('В03 Каталог'!$E$5:$E$19,MATCH(J13,'В03 Каталог'!$B$5:$B$19,0)),""))</f>
        <v/>
      </c>
      <c r="N13" s="22">
        <f>IF(J13="","",IFERROR(INDEX('В03 Каталог'!$C$5:$C$19,MATCH(J13,'В03 Каталог'!$B$5:$B$19,0)),""))</f>
        <v/>
      </c>
      <c r="O13" s="21" t="n"/>
    </row>
    <row r="14">
      <c r="A14" s="15" t="n">
        <v>10</v>
      </c>
      <c r="B14" s="11" t="n"/>
      <c r="C14" s="11" t="n"/>
      <c r="D14" s="21" t="n"/>
      <c r="E14" s="11" t="n"/>
      <c r="F14" s="21" t="n"/>
      <c r="G14" s="21" t="n"/>
      <c r="H14" s="11" t="n"/>
      <c r="I14" s="21" t="n"/>
      <c r="J14" s="11" t="n"/>
      <c r="K14" s="11" t="n"/>
      <c r="L14" s="15">
        <f>IF(I14&lt;&gt;"Так","",IF(J14="","Оберіть захід",IF(K14="","Вкажіть, де в мережі",IF(D14="","Оберіть літеру STRIDE",IF(F14="","Вкажіть природу",IF(AND(INDEX('В03 Каталог'!$C$5:$C$19,MATCH(J14,'В03 Каталог'!$B$5:$B$19,0))="Лабораторна",F14="фізична",INDEX('В03 Каталог'!$A$5:$A$19,MATCH(J14,'В03 Каталог'!$B$5:$B$19,0))&lt;&gt;"L10"),"Мережевий захід не закриває фізичну загрозу",IF(AND(INDEX('В03 Каталог'!$C$5:$C$19,MATCH(J14,'В03 Каталог'!$B$5:$B$19,0))="Лабораторна",ISERROR(SEARCH(LEFT(D14,1),INDEX('В03 Каталог'!$D$5:$D$19,MATCH(J14,'В03 Каталог'!$B$5:$B$19,0))))),"Захід не діє на цей тип загрози",IF(AND(INDEX('В03 Каталог'!$C$5:$C$19,MATCH(J14,'В03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IF(J14="","",IFERROR(INDEX('В03 Каталог'!$E$5:$E$19,MATCH(J14,'В03 Каталог'!$B$5:$B$19,0)),""))</f>
        <v/>
      </c>
      <c r="N14" s="22">
        <f>IF(J14="","",IFERROR(INDEX('В03 Каталог'!$C$5:$C$19,MATCH(J14,'В03 Каталог'!$B$5:$B$19,0)),""))</f>
        <v/>
      </c>
      <c r="O14" s="21" t="n"/>
    </row>
    <row r="15">
      <c r="A15" s="15" t="n">
        <v>11</v>
      </c>
      <c r="B15" s="11" t="n"/>
      <c r="C15" s="11" t="n"/>
      <c r="D15" s="21" t="n"/>
      <c r="E15" s="11" t="n"/>
      <c r="F15" s="21" t="n"/>
      <c r="G15" s="21" t="n"/>
      <c r="H15" s="11" t="n"/>
      <c r="I15" s="21" t="n"/>
      <c r="J15" s="11" t="n"/>
      <c r="K15" s="11" t="n"/>
      <c r="L15" s="15">
        <f>IF(I15&lt;&gt;"Так","",IF(J15="","Оберіть захід",IF(K15="","Вкажіть, де в мережі",IF(D15="","Оберіть літеру STRIDE",IF(F15="","Вкажіть природу",IF(AND(INDEX('В03 Каталог'!$C$5:$C$19,MATCH(J15,'В03 Каталог'!$B$5:$B$19,0))="Лабораторна",F15="фізична",INDEX('В03 Каталог'!$A$5:$A$19,MATCH(J15,'В03 Каталог'!$B$5:$B$19,0))&lt;&gt;"L10"),"Мережевий захід не закриває фізичну загрозу",IF(AND(INDEX('В03 Каталог'!$C$5:$C$19,MATCH(J15,'В03 Каталог'!$B$5:$B$19,0))="Лабораторна",ISERROR(SEARCH(LEFT(D15,1),INDEX('В03 Каталог'!$D$5:$D$19,MATCH(J15,'В03 Каталог'!$B$5:$B$19,0))))),"Захід не діє на цей тип загрози",IF(AND(INDEX('В03 Каталог'!$C$5:$C$19,MATCH(J15,'В03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IF(J15="","",IFERROR(INDEX('В03 Каталог'!$E$5:$E$19,MATCH(J15,'В03 Каталог'!$B$5:$B$19,0)),""))</f>
        <v/>
      </c>
      <c r="N15" s="22">
        <f>IF(J15="","",IFERROR(INDEX('В03 Каталог'!$C$5:$C$19,MATCH(J15,'В03 Каталог'!$B$5:$B$19,0)),""))</f>
        <v/>
      </c>
      <c r="O15" s="21" t="n"/>
    </row>
    <row r="16">
      <c r="A16" s="15" t="n">
        <v>12</v>
      </c>
      <c r="B16" s="11" t="n"/>
      <c r="C16" s="11" t="n"/>
      <c r="D16" s="21" t="n"/>
      <c r="E16" s="11" t="n"/>
      <c r="F16" s="21" t="n"/>
      <c r="G16" s="21" t="n"/>
      <c r="H16" s="11" t="n"/>
      <c r="I16" s="21" t="n"/>
      <c r="J16" s="11" t="n"/>
      <c r="K16" s="11" t="n"/>
      <c r="L16" s="15">
        <f>IF(I16&lt;&gt;"Так","",IF(J16="","Оберіть захід",IF(K16="","Вкажіть, де в мережі",IF(D16="","Оберіть літеру STRIDE",IF(F16="","Вкажіть природу",IF(AND(INDEX('В03 Каталог'!$C$5:$C$19,MATCH(J16,'В03 Каталог'!$B$5:$B$19,0))="Лабораторна",F16="фізична",INDEX('В03 Каталог'!$A$5:$A$19,MATCH(J16,'В03 Каталог'!$B$5:$B$19,0))&lt;&gt;"L10"),"Мережевий захід не закриває фізичну загрозу",IF(AND(INDEX('В03 Каталог'!$C$5:$C$19,MATCH(J16,'В03 Каталог'!$B$5:$B$19,0))="Лабораторна",ISERROR(SEARCH(LEFT(D16,1),INDEX('В03 Каталог'!$D$5:$D$19,MATCH(J16,'В03 Каталог'!$B$5:$B$19,0))))),"Захід не діє на цей тип загрози",IF(AND(INDEX('В03 Каталог'!$C$5:$C$19,MATCH(J16,'В03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IF(J16="","",IFERROR(INDEX('В03 Каталог'!$E$5:$E$19,MATCH(J16,'В03 Каталог'!$B$5:$B$19,0)),""))</f>
        <v/>
      </c>
      <c r="N16" s="22">
        <f>IF(J16="","",IFERROR(INDEX('В03 Каталог'!$C$5:$C$19,MATCH(J16,'В03 Каталог'!$B$5:$B$19,0)),""))</f>
        <v/>
      </c>
      <c r="O16" s="21" t="n"/>
    </row>
    <row r="17">
      <c r="A17" s="15" t="n">
        <v>13</v>
      </c>
      <c r="B17" s="11" t="n"/>
      <c r="C17" s="11" t="n"/>
      <c r="D17" s="21" t="n"/>
      <c r="E17" s="11" t="n"/>
      <c r="F17" s="21" t="n"/>
      <c r="G17" s="21" t="n"/>
      <c r="H17" s="11" t="n"/>
      <c r="I17" s="21" t="n"/>
      <c r="J17" s="11" t="n"/>
      <c r="K17" s="11" t="n"/>
      <c r="L17" s="15">
        <f>IF(I17&lt;&gt;"Так","",IF(J17="","Оберіть захід",IF(K17="","Вкажіть, де в мережі",IF(D17="","Оберіть літеру STRIDE",IF(F17="","Вкажіть природу",IF(AND(INDEX('В03 Каталог'!$C$5:$C$19,MATCH(J17,'В03 Каталог'!$B$5:$B$19,0))="Лабораторна",F17="фізична",INDEX('В03 Каталог'!$A$5:$A$19,MATCH(J17,'В03 Каталог'!$B$5:$B$19,0))&lt;&gt;"L10"),"Мережевий захід не закриває фізичну загрозу",IF(AND(INDEX('В03 Каталог'!$C$5:$C$19,MATCH(J17,'В03 Каталог'!$B$5:$B$19,0))="Лабораторна",ISERROR(SEARCH(LEFT(D17,1),INDEX('В03 Каталог'!$D$5:$D$19,MATCH(J17,'В03 Каталог'!$B$5:$B$19,0))))),"Захід не діє на цей тип загрози",IF(AND(INDEX('В03 Каталог'!$C$5:$C$19,MATCH(J17,'В03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IF(J17="","",IFERROR(INDEX('В03 Каталог'!$E$5:$E$19,MATCH(J17,'В03 Каталог'!$B$5:$B$19,0)),""))</f>
        <v/>
      </c>
      <c r="N17" s="22">
        <f>IF(J17="","",IFERROR(INDEX('В03 Каталог'!$C$5:$C$19,MATCH(J17,'В03 Каталог'!$B$5:$B$19,0)),""))</f>
        <v/>
      </c>
      <c r="O17" s="21" t="n"/>
    </row>
    <row r="18">
      <c r="A18" s="15" t="n">
        <v>14</v>
      </c>
      <c r="B18" s="11" t="n"/>
      <c r="C18" s="11" t="n"/>
      <c r="D18" s="21" t="n"/>
      <c r="E18" s="11" t="n"/>
      <c r="F18" s="21" t="n"/>
      <c r="G18" s="21" t="n"/>
      <c r="H18" s="11" t="n"/>
      <c r="I18" s="21" t="n"/>
      <c r="J18" s="11" t="n"/>
      <c r="K18" s="11" t="n"/>
      <c r="L18" s="15">
        <f>IF(I18&lt;&gt;"Так","",IF(J18="","Оберіть захід",IF(K18="","Вкажіть, де в мережі",IF(D18="","Оберіть літеру STRIDE",IF(F18="","Вкажіть природу",IF(AND(INDEX('В03 Каталог'!$C$5:$C$19,MATCH(J18,'В03 Каталог'!$B$5:$B$19,0))="Лабораторна",F18="фізична",INDEX('В03 Каталог'!$A$5:$A$19,MATCH(J18,'В03 Каталог'!$B$5:$B$19,0))&lt;&gt;"L10"),"Мережевий захід не закриває фізичну загрозу",IF(AND(INDEX('В03 Каталог'!$C$5:$C$19,MATCH(J18,'В03 Каталог'!$B$5:$B$19,0))="Лабораторна",ISERROR(SEARCH(LEFT(D18,1),INDEX('В03 Каталог'!$D$5:$D$19,MATCH(J18,'В03 Каталог'!$B$5:$B$19,0))))),"Захід не діє на цей тип загрози",IF(AND(INDEX('В03 Каталог'!$C$5:$C$19,MATCH(J18,'В03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IF(J18="","",IFERROR(INDEX('В03 Каталог'!$E$5:$E$19,MATCH(J18,'В03 Каталог'!$B$5:$B$19,0)),""))</f>
        <v/>
      </c>
      <c r="N18" s="22">
        <f>IF(J18="","",IFERROR(INDEX('В03 Каталог'!$C$5:$C$19,MATCH(J18,'В03 Каталог'!$B$5:$B$19,0)),""))</f>
        <v/>
      </c>
      <c r="O18" s="21" t="n"/>
    </row>
    <row r="19">
      <c r="A19" s="15" t="n">
        <v>15</v>
      </c>
      <c r="B19" s="11" t="n"/>
      <c r="C19" s="11" t="n"/>
      <c r="D19" s="21" t="n"/>
      <c r="E19" s="11" t="n"/>
      <c r="F19" s="21" t="n"/>
      <c r="G19" s="21" t="n"/>
      <c r="H19" s="11" t="n"/>
      <c r="I19" s="21" t="n"/>
      <c r="J19" s="11" t="n"/>
      <c r="K19" s="11" t="n"/>
      <c r="L19" s="15">
        <f>IF(I19&lt;&gt;"Так","",IF(J19="","Оберіть захід",IF(K19="","Вкажіть, де в мережі",IF(D19="","Оберіть літеру STRIDE",IF(F19="","Вкажіть природу",IF(AND(INDEX('В03 Каталог'!$C$5:$C$19,MATCH(J19,'В03 Каталог'!$B$5:$B$19,0))="Лабораторна",F19="фізична",INDEX('В03 Каталог'!$A$5:$A$19,MATCH(J19,'В03 Каталог'!$B$5:$B$19,0))&lt;&gt;"L10"),"Мережевий захід не закриває фізичну загрозу",IF(AND(INDEX('В03 Каталог'!$C$5:$C$19,MATCH(J19,'В03 Каталог'!$B$5:$B$19,0))="Лабораторна",ISERROR(SEARCH(LEFT(D19,1),INDEX('В03 Каталог'!$D$5:$D$19,MATCH(J19,'В03 Каталог'!$B$5:$B$19,0))))),"Захід не діє на цей тип загрози",IF(AND(INDEX('В03 Каталог'!$C$5:$C$19,MATCH(J19,'В03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IF(J19="","",IFERROR(INDEX('В03 Каталог'!$E$5:$E$19,MATCH(J19,'В03 Каталог'!$B$5:$B$19,0)),""))</f>
        <v/>
      </c>
      <c r="N19" s="22">
        <f>IF(J19="","",IFERROR(INDEX('В03 Каталог'!$C$5:$C$19,MATCH(J19,'В03 Каталог'!$B$5:$B$19,0)),""))</f>
        <v/>
      </c>
      <c r="O19" s="21" t="n"/>
    </row>
    <row r="20">
      <c r="A20" s="15" t="n">
        <v>16</v>
      </c>
      <c r="B20" s="11" t="n"/>
      <c r="C20" s="11" t="n"/>
      <c r="D20" s="21" t="n"/>
      <c r="E20" s="11" t="n"/>
      <c r="F20" s="21" t="n"/>
      <c r="G20" s="21" t="n"/>
      <c r="H20" s="11" t="n"/>
      <c r="I20" s="21" t="n"/>
      <c r="J20" s="11" t="n"/>
      <c r="K20" s="11" t="n"/>
      <c r="L20" s="15">
        <f>IF(I20&lt;&gt;"Так","",IF(J20="","Оберіть захід",IF(K20="","Вкажіть, де в мережі",IF(D20="","Оберіть літеру STRIDE",IF(F20="","Вкажіть природу",IF(AND(INDEX('В03 Каталог'!$C$5:$C$19,MATCH(J20,'В03 Каталог'!$B$5:$B$19,0))="Лабораторна",F20="фізична",INDEX('В03 Каталог'!$A$5:$A$19,MATCH(J20,'В03 Каталог'!$B$5:$B$19,0))&lt;&gt;"L10"),"Мережевий захід не закриває фізичну загрозу",IF(AND(INDEX('В03 Каталог'!$C$5:$C$19,MATCH(J20,'В03 Каталог'!$B$5:$B$19,0))="Лабораторна",ISERROR(SEARCH(LEFT(D20,1),INDEX('В03 Каталог'!$D$5:$D$19,MATCH(J20,'В03 Каталог'!$B$5:$B$19,0))))),"Захід не діє на цей тип загрози",IF(AND(INDEX('В03 Каталог'!$C$5:$C$19,MATCH(J20,'В03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IF(J20="","",IFERROR(INDEX('В03 Каталог'!$E$5:$E$19,MATCH(J20,'В03 Каталог'!$B$5:$B$19,0)),""))</f>
        <v/>
      </c>
      <c r="N20" s="22">
        <f>IF(J20="","",IFERROR(INDEX('В03 Каталог'!$C$5:$C$19,MATCH(J20,'В03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природу",IF(AND(INDEX('В03 Каталог'!$C$5:$C$19,MATCH(J21,'В03 Каталог'!$B$5:$B$19,0))="Лабораторна",F21="фізична",INDEX('В03 Каталог'!$A$5:$A$19,MATCH(J21,'В03 Каталог'!$B$5:$B$19,0))&lt;&gt;"L10"),"Мережевий захід не закриває фізичну загрозу",IF(AND(INDEX('В03 Каталог'!$C$5:$C$19,MATCH(J21,'В03 Каталог'!$B$5:$B$19,0))="Лабораторна",ISERROR(SEARCH(LEFT(D21,1),INDEX('В03 Каталог'!$D$5:$D$19,MATCH(J21,'В03 Каталог'!$B$5:$B$19,0))))),"Захід не діє на цей тип загрози",IF(AND(INDEX('В03 Каталог'!$C$5:$C$19,MATCH(J21,'В03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IF(J21="","",IFERROR(INDEX('В03 Каталог'!$E$5:$E$19,MATCH(J21,'В03 Каталог'!$B$5:$B$19,0)),""))</f>
        <v/>
      </c>
      <c r="N21" s="22">
        <f>IF(J21="","",IFERROR(INDEX('В03 Каталог'!$C$5:$C$19,MATCH(J21,'В03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природу",IF(AND(INDEX('В03 Каталог'!$C$5:$C$19,MATCH(J22,'В03 Каталог'!$B$5:$B$19,0))="Лабораторна",F22="фізична",INDEX('В03 Каталог'!$A$5:$A$19,MATCH(J22,'В03 Каталог'!$B$5:$B$19,0))&lt;&gt;"L10"),"Мережевий захід не закриває фізичну загрозу",IF(AND(INDEX('В03 Каталог'!$C$5:$C$19,MATCH(J22,'В03 Каталог'!$B$5:$B$19,0))="Лабораторна",ISERROR(SEARCH(LEFT(D22,1),INDEX('В03 Каталог'!$D$5:$D$19,MATCH(J22,'В03 Каталог'!$B$5:$B$19,0))))),"Захід не діє на цей тип загрози",IF(AND(INDEX('В03 Каталог'!$C$5:$C$19,MATCH(J22,'В03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IF(J22="","",IFERROR(INDEX('В03 Каталог'!$E$5:$E$19,MATCH(J22,'В03 Каталог'!$B$5:$B$19,0)),""))</f>
        <v/>
      </c>
      <c r="N22" s="22">
        <f>IF(J22="","",IFERROR(INDEX('В03 Каталог'!$C$5:$C$19,MATCH(J22,'В03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природу",IF(AND(INDEX('В03 Каталог'!$C$5:$C$19,MATCH(J23,'В03 Каталог'!$B$5:$B$19,0))="Лабораторна",F23="фізична",INDEX('В03 Каталог'!$A$5:$A$19,MATCH(J23,'В03 Каталог'!$B$5:$B$19,0))&lt;&gt;"L10"),"Мережевий захід не закриває фізичну загрозу",IF(AND(INDEX('В03 Каталог'!$C$5:$C$19,MATCH(J23,'В03 Каталог'!$B$5:$B$19,0))="Лабораторна",ISERROR(SEARCH(LEFT(D23,1),INDEX('В03 Каталог'!$D$5:$D$19,MATCH(J23,'В03 Каталог'!$B$5:$B$19,0))))),"Захід не діє на цей тип загрози",IF(AND(INDEX('В03 Каталог'!$C$5:$C$19,MATCH(J23,'В03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IF(J23="","",IFERROR(INDEX('В03 Каталог'!$E$5:$E$19,MATCH(J23,'В03 Каталог'!$B$5:$B$19,0)),""))</f>
        <v/>
      </c>
      <c r="N23" s="22">
        <f>IF(J23="","",IFERROR(INDEX('В03 Каталог'!$C$5:$C$19,MATCH(J23,'В03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природу",IF(AND(INDEX('В03 Каталог'!$C$5:$C$19,MATCH(J24,'В03 Каталог'!$B$5:$B$19,0))="Лабораторна",F24="фізична",INDEX('В03 Каталог'!$A$5:$A$19,MATCH(J24,'В03 Каталог'!$B$5:$B$19,0))&lt;&gt;"L10"),"Мережевий захід не закриває фізичну загрозу",IF(AND(INDEX('В03 Каталог'!$C$5:$C$19,MATCH(J24,'В03 Каталог'!$B$5:$B$19,0))="Лабораторна",ISERROR(SEARCH(LEFT(D24,1),INDEX('В03 Каталог'!$D$5:$D$19,MATCH(J24,'В03 Каталог'!$B$5:$B$19,0))))),"Захід не діє на цей тип загрози",IF(AND(INDEX('В03 Каталог'!$C$5:$C$19,MATCH(J24,'В03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IF(J24="","",IFERROR(INDEX('В03 Каталог'!$E$5:$E$19,MATCH(J24,'В03 Каталог'!$B$5:$B$19,0)),""))</f>
        <v/>
      </c>
      <c r="N24" s="22">
        <f>IF(J24="","",IFERROR(INDEX('В03 Каталог'!$C$5:$C$19,MATCH(J24,'В03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природу",IF(AND(INDEX('В03 Каталог'!$C$5:$C$19,MATCH(J25,'В03 Каталог'!$B$5:$B$19,0))="Лабораторна",F25="фізична",INDEX('В03 Каталог'!$A$5:$A$19,MATCH(J25,'В03 Каталог'!$B$5:$B$19,0))&lt;&gt;"L10"),"Мережевий захід не закриває фізичну загрозу",IF(AND(INDEX('В03 Каталог'!$C$5:$C$19,MATCH(J25,'В03 Каталог'!$B$5:$B$19,0))="Лабораторна",ISERROR(SEARCH(LEFT(D25,1),INDEX('В03 Каталог'!$D$5:$D$19,MATCH(J25,'В03 Каталог'!$B$5:$B$19,0))))),"Захід не діє на цей тип загрози",IF(AND(INDEX('В03 Каталог'!$C$5:$C$19,MATCH(J25,'В03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IF(J25="","",IFERROR(INDEX('В03 Каталог'!$E$5:$E$19,MATCH(J25,'В03 Каталог'!$B$5:$B$19,0)),""))</f>
        <v/>
      </c>
      <c r="N25" s="22">
        <f>IF(J25="","",IFERROR(INDEX('В03 Каталог'!$C$5:$C$19,MATCH(J25,'В03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природу",IF(AND(INDEX('В03 Каталог'!$C$5:$C$19,MATCH(J26,'В03 Каталог'!$B$5:$B$19,0))="Лабораторна",F26="фізична",INDEX('В03 Каталог'!$A$5:$A$19,MATCH(J26,'В03 Каталог'!$B$5:$B$19,0))&lt;&gt;"L10"),"Мережевий захід не закриває фізичну загрозу",IF(AND(INDEX('В03 Каталог'!$C$5:$C$19,MATCH(J26,'В03 Каталог'!$B$5:$B$19,0))="Лабораторна",ISERROR(SEARCH(LEFT(D26,1),INDEX('В03 Каталог'!$D$5:$D$19,MATCH(J26,'В03 Каталог'!$B$5:$B$19,0))))),"Захід не діє на цей тип загрози",IF(AND(INDEX('В03 Каталог'!$C$5:$C$19,MATCH(J26,'В03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IF(J26="","",IFERROR(INDEX('В03 Каталог'!$E$5:$E$19,MATCH(J26,'В03 Каталог'!$B$5:$B$19,0)),""))</f>
        <v/>
      </c>
      <c r="N26" s="22">
        <f>IF(J26="","",IFERROR(INDEX('В03 Каталог'!$C$5:$C$19,MATCH(J26,'В03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природу",IF(AND(INDEX('В03 Каталог'!$C$5:$C$19,MATCH(J27,'В03 Каталог'!$B$5:$B$19,0))="Лабораторна",F27="фізична",INDEX('В03 Каталог'!$A$5:$A$19,MATCH(J27,'В03 Каталог'!$B$5:$B$19,0))&lt;&gt;"L10"),"Мережевий захід не закриває фізичну загрозу",IF(AND(INDEX('В03 Каталог'!$C$5:$C$19,MATCH(J27,'В03 Каталог'!$B$5:$B$19,0))="Лабораторна",ISERROR(SEARCH(LEFT(D27,1),INDEX('В03 Каталог'!$D$5:$D$19,MATCH(J27,'В03 Каталог'!$B$5:$B$19,0))))),"Захід не діє на цей тип загрози",IF(AND(INDEX('В03 Каталог'!$C$5:$C$19,MATCH(J27,'В03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IF(J27="","",IFERROR(INDEX('В03 Каталог'!$E$5:$E$19,MATCH(J27,'В03 Каталог'!$B$5:$B$19,0)),""))</f>
        <v/>
      </c>
      <c r="N27" s="22">
        <f>IF(J27="","",IFERROR(INDEX('В03 Каталог'!$C$5:$C$19,MATCH(J27,'В03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природу",IF(AND(INDEX('В03 Каталог'!$C$5:$C$19,MATCH(J28,'В03 Каталог'!$B$5:$B$19,0))="Лабораторна",F28="фізична",INDEX('В03 Каталог'!$A$5:$A$19,MATCH(J28,'В03 Каталог'!$B$5:$B$19,0))&lt;&gt;"L10"),"Мережевий захід не закриває фізичну загрозу",IF(AND(INDEX('В03 Каталог'!$C$5:$C$19,MATCH(J28,'В03 Каталог'!$B$5:$B$19,0))="Лабораторна",ISERROR(SEARCH(LEFT(D28,1),INDEX('В03 Каталог'!$D$5:$D$19,MATCH(J28,'В03 Каталог'!$B$5:$B$19,0))))),"Захід не діє на цей тип загрози",IF(AND(INDEX('В03 Каталог'!$C$5:$C$19,MATCH(J28,'В03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IF(J28="","",IFERROR(INDEX('В03 Каталог'!$E$5:$E$19,MATCH(J28,'В03 Каталог'!$B$5:$B$19,0)),""))</f>
        <v/>
      </c>
      <c r="N28" s="22">
        <f>IF(J28="","",IFERROR(INDEX('В03 Каталог'!$C$5:$C$19,MATCH(J28,'В03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природу",IF(AND(INDEX('В03 Каталог'!$C$5:$C$19,MATCH(J29,'В03 Каталог'!$B$5:$B$19,0))="Лабораторна",F29="фізична",INDEX('В03 Каталог'!$A$5:$A$19,MATCH(J29,'В03 Каталог'!$B$5:$B$19,0))&lt;&gt;"L10"),"Мережевий захід не закриває фізичну загрозу",IF(AND(INDEX('В03 Каталог'!$C$5:$C$19,MATCH(J29,'В03 Каталог'!$B$5:$B$19,0))="Лабораторна",ISERROR(SEARCH(LEFT(D29,1),INDEX('В03 Каталог'!$D$5:$D$19,MATCH(J29,'В03 Каталог'!$B$5:$B$19,0))))),"Захід не діє на цей тип загрози",IF(AND(INDEX('В03 Каталог'!$C$5:$C$19,MATCH(J29,'В03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IF(J29="","",IFERROR(INDEX('В03 Каталог'!$E$5:$E$19,MATCH(J29,'В03 Каталог'!$B$5:$B$19,0)),""))</f>
        <v/>
      </c>
      <c r="N29" s="22">
        <f>IF(J29="","",IFERROR(INDEX('В03 Каталог'!$C$5:$C$19,MATCH(J29,'В03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природу",IF(AND(INDEX('В03 Каталог'!$C$5:$C$19,MATCH(J30,'В03 Каталог'!$B$5:$B$19,0))="Лабораторна",F30="фізична",INDEX('В03 Каталог'!$A$5:$A$19,MATCH(J30,'В03 Каталог'!$B$5:$B$19,0))&lt;&gt;"L10"),"Мережевий захід не закриває фізичну загрозу",IF(AND(INDEX('В03 Каталог'!$C$5:$C$19,MATCH(J30,'В03 Каталог'!$B$5:$B$19,0))="Лабораторна",ISERROR(SEARCH(LEFT(D30,1),INDEX('В03 Каталог'!$D$5:$D$19,MATCH(J30,'В03 Каталог'!$B$5:$B$19,0))))),"Захід не діє на цей тип загрози",IF(AND(INDEX('В03 Каталог'!$C$5:$C$19,MATCH(J30,'В03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IF(J30="","",IFERROR(INDEX('В03 Каталог'!$E$5:$E$19,MATCH(J30,'В03 Каталог'!$B$5:$B$19,0)),""))</f>
        <v/>
      </c>
      <c r="N30" s="22">
        <f>IF(J30="","",IFERROR(INDEX('В03 Каталог'!$C$5:$C$19,MATCH(J30,'В03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природу",IF(AND(INDEX('В03 Каталог'!$C$5:$C$19,MATCH(J31,'В03 Каталог'!$B$5:$B$19,0))="Лабораторна",F31="фізична",INDEX('В03 Каталог'!$A$5:$A$19,MATCH(J31,'В03 Каталог'!$B$5:$B$19,0))&lt;&gt;"L10"),"Мережевий захід не закриває фізичну загрозу",IF(AND(INDEX('В03 Каталог'!$C$5:$C$19,MATCH(J31,'В03 Каталог'!$B$5:$B$19,0))="Лабораторна",ISERROR(SEARCH(LEFT(D31,1),INDEX('В03 Каталог'!$D$5:$D$19,MATCH(J31,'В03 Каталог'!$B$5:$B$19,0))))),"Захід не діє на цей тип загрози",IF(AND(INDEX('В03 Каталог'!$C$5:$C$19,MATCH(J31,'В03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IF(J31="","",IFERROR(INDEX('В03 Каталог'!$E$5:$E$19,MATCH(J31,'В03 Каталог'!$B$5:$B$19,0)),""))</f>
        <v/>
      </c>
      <c r="N31" s="22">
        <f>IF(J31="","",IFERROR(INDEX('В03 Каталог'!$C$5:$C$19,MATCH(J31,'В03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природу",IF(AND(INDEX('В03 Каталог'!$C$5:$C$19,MATCH(J32,'В03 Каталог'!$B$5:$B$19,0))="Лабораторна",F32="фізична",INDEX('В03 Каталог'!$A$5:$A$19,MATCH(J32,'В03 Каталог'!$B$5:$B$19,0))&lt;&gt;"L10"),"Мережевий захід не закриває фізичну загрозу",IF(AND(INDEX('В03 Каталог'!$C$5:$C$19,MATCH(J32,'В03 Каталог'!$B$5:$B$19,0))="Лабораторна",ISERROR(SEARCH(LEFT(D32,1),INDEX('В03 Каталог'!$D$5:$D$19,MATCH(J32,'В03 Каталог'!$B$5:$B$19,0))))),"Захід не діє на цей тип загрози",IF(AND(INDEX('В03 Каталог'!$C$5:$C$19,MATCH(J32,'В03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IF(J32="","",IFERROR(INDEX('В03 Каталог'!$E$5:$E$19,MATCH(J32,'В03 Каталог'!$B$5:$B$19,0)),""))</f>
        <v/>
      </c>
      <c r="N32" s="22">
        <f>IF(J32="","",IFERROR(INDEX('В03 Каталог'!$C$5:$C$19,MATCH(J32,'В03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природу",IF(AND(INDEX('В03 Каталог'!$C$5:$C$19,MATCH(J33,'В03 Каталог'!$B$5:$B$19,0))="Лабораторна",F33="фізична",INDEX('В03 Каталог'!$A$5:$A$19,MATCH(J33,'В03 Каталог'!$B$5:$B$19,0))&lt;&gt;"L10"),"Мережевий захід не закриває фізичну загрозу",IF(AND(INDEX('В03 Каталог'!$C$5:$C$19,MATCH(J33,'В03 Каталог'!$B$5:$B$19,0))="Лабораторна",ISERROR(SEARCH(LEFT(D33,1),INDEX('В03 Каталог'!$D$5:$D$19,MATCH(J33,'В03 Каталог'!$B$5:$B$19,0))))),"Захід не діє на цей тип загрози",IF(AND(INDEX('В03 Каталог'!$C$5:$C$19,MATCH(J33,'В03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IF(J33="","",IFERROR(INDEX('В03 Каталог'!$E$5:$E$19,MATCH(J33,'В03 Каталог'!$B$5:$B$19,0)),""))</f>
        <v/>
      </c>
      <c r="N33" s="22">
        <f>IF(J33="","",IFERROR(INDEX('В03 Каталог'!$C$5:$C$19,MATCH(J33,'В03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природу",IF(AND(INDEX('В03 Каталог'!$C$5:$C$19,MATCH(J34,'В03 Каталог'!$B$5:$B$19,0))="Лабораторна",F34="фізична",INDEX('В03 Каталог'!$A$5:$A$19,MATCH(J34,'В03 Каталог'!$B$5:$B$19,0))&lt;&gt;"L10"),"Мережевий захід не закриває фізичну загрозу",IF(AND(INDEX('В03 Каталог'!$C$5:$C$19,MATCH(J34,'В03 Каталог'!$B$5:$B$19,0))="Лабораторна",ISERROR(SEARCH(LEFT(D34,1),INDEX('В03 Каталог'!$D$5:$D$19,MATCH(J34,'В03 Каталог'!$B$5:$B$19,0))))),"Захід не діє на цей тип загрози",IF(AND(INDEX('В03 Каталог'!$C$5:$C$19,MATCH(J34,'В03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IF(J34="","",IFERROR(INDEX('В03 Каталог'!$E$5:$E$19,MATCH(J34,'В03 Каталог'!$B$5:$B$19,0)),""))</f>
        <v/>
      </c>
      <c r="N34" s="22">
        <f>IF(J34="","",IFERROR(INDEX('В03 Каталог'!$C$5:$C$19,MATCH(J34,'В03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='В03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='В03 Каталог'!$B$5:$B$19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55A11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2"/>
    <row r="3"/>
    <row r="4">
      <c r="A4" s="23" t="inlineStr">
        <is>
          <t>Загроз у таблиці</t>
        </is>
      </c>
      <c r="B4" s="24">
        <f>COUNTA('В03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COUNTIF('В03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COUNTIF('В03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COUNTIF('В03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COUNTIF('В03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COUNTIF('В03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COUNTIF('В03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COUNTIF('В03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COUNTIF('В03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COUNTIF('В03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COUNTIF('В03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COUNTIF('В03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COUNTIF('В03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COUNTIF('В03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SUMPRODUCT(('В03 Загрози і заходи'!I5:I34="Так")*('В03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COUNTIFS('В03 Загрози і заходи'!I5:I34,"Так",'В03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COUNTIF('В03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C55A11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3"/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n"/>
      <c r="B5" s="11" t="n"/>
      <c r="C5" s="11" t="n"/>
      <c r="D5" s="11" t="n"/>
    </row>
    <row r="6" ht="70" customHeight="1">
      <c r="A6" s="11" t="n"/>
      <c r="B6" s="11" t="n"/>
      <c r="C6" s="11" t="n"/>
      <c r="D6" s="11" t="n"/>
    </row>
    <row r="7" ht="70" customHeight="1">
      <c r="A7" s="11" t="n"/>
      <c r="B7" s="11" t="n"/>
      <c r="C7" s="11" t="n"/>
      <c r="D7" s="11" t="n"/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1"/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n"/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48235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04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48235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04</t>
        </is>
      </c>
    </row>
    <row r="2"/>
    <row r="3">
      <c r="A3" s="10" t="inlineStr">
        <is>
          <t>Студент (прізвище)</t>
        </is>
      </c>
      <c r="B3" s="11" t="n"/>
    </row>
    <row r="4">
      <c r="A4" s="10" t="inlineStr">
        <is>
          <t>Точка прийому</t>
        </is>
      </c>
      <c r="B4" s="12" t="inlineStr">
        <is>
          <t>мобільний POS-термінал менеджера (виїзне обслуговування)</t>
        </is>
      </c>
    </row>
    <row r="5">
      <c r="A5" s="10" t="inlineStr">
        <is>
          <t>Підключення точки до мережі</t>
        </is>
      </c>
      <c r="B5" s="12" t="inlineStr">
        <is>
          <t>Wi-Fi відділення</t>
        </is>
      </c>
    </row>
    <row r="6">
      <c r="A6" s="10" t="inlineStr">
        <is>
          <t>Зв'язок відділення зі шлюзом</t>
        </is>
      </c>
      <c r="B6" s="12" t="inlineStr">
        <is>
          <t>звичайний Інтернет без VPN</t>
        </is>
      </c>
    </row>
    <row r="7">
      <c r="A7" s="10" t="inlineStr">
        <is>
          <t>Особливий учасник</t>
        </is>
      </c>
      <c r="B7" s="12" t="inlineStr">
        <is>
          <t>підрядник-інтегратор мережі й Wi-Fi: адміністрування Wi-Fi та комутаторів відділення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0"/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n"/>
      <c r="C13" s="15">
        <f>A13&amp;". "&amp;B13</f>
        <v/>
      </c>
    </row>
    <row r="14">
      <c r="A14" s="15" t="inlineStr">
        <is>
          <t>M2</t>
        </is>
      </c>
      <c r="B14" s="11" t="n"/>
      <c r="C14" s="15">
        <f>A14&amp;". "&amp;B14</f>
        <v/>
      </c>
    </row>
    <row r="15">
      <c r="A15" s="15" t="inlineStr">
        <is>
          <t>M3</t>
        </is>
      </c>
      <c r="B15" s="11" t="n"/>
      <c r="C15" s="15">
        <f>A15&amp;". "&amp;B15</f>
        <v/>
      </c>
    </row>
    <row r="16">
      <c r="A16" s="15" t="inlineStr">
        <is>
          <t>M4</t>
        </is>
      </c>
      <c r="B16" s="11" t="n"/>
      <c r="C16" s="15">
        <f>A16&amp;". "&amp;B16</f>
        <v/>
      </c>
    </row>
    <row r="17">
      <c r="A17" s="15" t="inlineStr">
        <is>
          <t>M5</t>
        </is>
      </c>
      <c r="B17" s="11" t="n"/>
      <c r="C17" s="15">
        <f>A17&amp;". "&amp;B17</f>
        <v/>
      </c>
    </row>
    <row r="18">
      <c r="A18" s="15" t="inlineStr">
        <is>
          <t>M6</t>
        </is>
      </c>
      <c r="B18" s="11" t="n"/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48235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3"/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548235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3"/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M5</t>
        </is>
      </c>
      <c r="C5" s="15" t="inlineStr">
        <is>
          <t>R — відмова від дій</t>
        </is>
      </c>
      <c r="D5" s="15" t="inlineStr">
        <is>
          <t>Шлюз не зберігає журнал: після шахрайства неможливо відновити послідовність подій</t>
        </is>
      </c>
      <c r="E5" s="15" t="inlineStr">
        <is>
          <t>мережева</t>
        </is>
      </c>
      <c r="F5" s="15" t="n">
        <v>2</v>
      </c>
      <c r="G5" s="15" t="inlineStr">
        <is>
          <t>ЛР10. Syslog, NTP і моніторинг (лише виявляє)</t>
        </is>
      </c>
    </row>
    <row r="6">
      <c r="A6" s="15" t="n">
        <v>2</v>
      </c>
      <c r="B6" s="15" t="inlineStr">
        <is>
          <t>M1</t>
        </is>
      </c>
      <c r="C6" s="15" t="inlineStr">
        <is>
          <t>R — відмова від дій</t>
        </is>
      </c>
      <c r="D6" s="15" t="inlineStr">
        <is>
          <t>Клієнт заперечує операцію, а повного журналу з точним часом немає</t>
        </is>
      </c>
      <c r="E6" s="15" t="inlineStr">
        <is>
          <t>організаційна</t>
        </is>
      </c>
      <c r="F6" s="15" t="n">
        <v>2</v>
      </c>
      <c r="G6" s="15" t="inlineStr">
        <is>
          <t>ЛР10. Syslog, NTP і моніторинг (лише виявляє)</t>
        </is>
      </c>
    </row>
    <row r="7">
      <c r="A7" s="15" t="n">
        <v>3</v>
      </c>
      <c r="B7" s="15" t="inlineStr">
        <is>
          <t>M2</t>
        </is>
      </c>
      <c r="C7" s="15" t="inlineStr">
        <is>
          <t>S — підміна</t>
        </is>
      </c>
      <c r="D7" s="15" t="inlineStr">
        <is>
          <t>Чужий пристрій підключається до Wi-Fi відділення й видає себе за термінал</t>
        </is>
      </c>
      <c r="E7" s="15" t="inlineStr">
        <is>
          <t>мережева</t>
        </is>
      </c>
      <c r="F7" s="15" t="n">
        <v>3</v>
      </c>
      <c r="G7" s="15" t="inlineStr">
        <is>
          <t>ЛР8. Окремий VLAN для пристроїв і захищена Wi-Fi (WPA2)</t>
        </is>
      </c>
    </row>
    <row r="8">
      <c r="A8" s="15" t="n">
        <v>4</v>
      </c>
      <c r="B8" s="15" t="inlineStr">
        <is>
          <t>M3</t>
        </is>
      </c>
      <c r="C8" s="15" t="inlineStr">
        <is>
          <t>T — зміна даних</t>
        </is>
      </c>
      <c r="D8" s="15" t="inlineStr">
        <is>
          <t>Встановити IPsec VPN і міжмережевий екран між відділенням і шлюзом</t>
        </is>
      </c>
      <c r="E8" s="15" t="inlineStr">
        <is>
          <t>мережева</t>
        </is>
      </c>
      <c r="F8" s="15" t="n">
        <v>3</v>
      </c>
      <c r="G8" s="15" t="inlineStr">
        <is>
          <t>ЛР7. IPsec VPN між відділенням і головним офісом</t>
        </is>
      </c>
    </row>
    <row r="9">
      <c r="A9" s="15" t="n">
        <v>5</v>
      </c>
      <c r="B9" s="15" t="inlineStr">
        <is>
          <t>M5</t>
        </is>
      </c>
      <c r="C9" s="15" t="inlineStr">
        <is>
          <t>S — підміна</t>
        </is>
      </c>
      <c r="D9" s="15" t="inlineStr">
        <is>
          <t>Підроблений запит до АБС від зламаного шлюзу чи від ПК відділення</t>
        </is>
      </c>
      <c r="E9" s="15" t="inlineStr">
        <is>
          <t>мережева</t>
        </is>
      </c>
      <c r="F9" s="15" t="n">
        <v>3</v>
      </c>
      <c r="G9" s="15" t="inlineStr">
        <is>
          <t>ЛР5. Міжмережевий екран ASA: зони й NAT</t>
        </is>
      </c>
    </row>
    <row r="10">
      <c r="A10" s="15" t="n">
        <v>6</v>
      </c>
      <c r="B10" s="15" t="inlineStr">
        <is>
          <t>M4</t>
        </is>
      </c>
      <c r="C10" s="15" t="inlineStr">
        <is>
          <t>T — зміна даних</t>
        </is>
      </c>
      <c r="D10" s="15" t="inlineStr">
        <is>
          <t>Перехоплення платіжного трафіку в каналі: зловмисник читає передані дані</t>
        </is>
      </c>
      <c r="E10" s="15" t="inlineStr">
        <is>
          <t>мережева</t>
        </is>
      </c>
      <c r="F10" s="15" t="n">
        <v>3</v>
      </c>
      <c r="G10" s="15" t="inlineStr">
        <is>
          <t>ЛР7. IPsec VPN між відділенням і головним офісом</t>
        </is>
      </c>
    </row>
    <row r="11">
      <c r="A11" s="15" t="n">
        <v>7</v>
      </c>
      <c r="B11" s="15" t="inlineStr">
        <is>
          <t>M1</t>
        </is>
      </c>
      <c r="C11" s="15" t="inlineStr">
        <is>
          <t>T — зміна даних</t>
        </is>
      </c>
      <c r="D11" s="15" t="inlineStr">
        <is>
          <t>Скімер на мобільного POS-термінала: копіює дані картки</t>
        </is>
      </c>
      <c r="E11" s="15" t="inlineStr">
        <is>
          <t>фізична</t>
        </is>
      </c>
      <c r="F11" s="15" t="n">
        <v>3</v>
      </c>
      <c r="G11" s="15" t="inlineStr">
        <is>
          <t>ЛР1. Сегментація VLAN і маршрутизація між ними</t>
        </is>
      </c>
    </row>
    <row r="12"/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n"/>
      <c r="B15" s="11" t="n"/>
      <c r="C15" s="11" t="n"/>
      <c r="D15" s="19" t="n"/>
      <c r="E15" s="19" t="n"/>
      <c r="F15" s="19" t="n"/>
      <c r="G15" s="20" t="n"/>
    </row>
    <row r="16">
      <c r="A16" s="11" t="n"/>
      <c r="B16" s="11" t="n"/>
      <c r="C16" s="11" t="n"/>
      <c r="D16" s="19" t="n"/>
      <c r="E16" s="19" t="n"/>
      <c r="F16" s="19" t="n"/>
      <c r="G16" s="20" t="n"/>
    </row>
    <row r="17">
      <c r="A17" s="11" t="n"/>
      <c r="B17" s="11" t="n"/>
      <c r="C17" s="11" t="n"/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548235"/>
    <outlinePr summaryBelow="1" summaryRight="1"/>
    <pageSetUpPr/>
  </sheetPr>
  <dimension ref="A1:O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3"/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n"/>
      <c r="C5" s="11" t="n"/>
      <c r="D5" s="21" t="n"/>
      <c r="E5" s="11" t="n"/>
      <c r="F5" s="21" t="n"/>
      <c r="G5" s="21" t="n"/>
      <c r="H5" s="11" t="n"/>
      <c r="I5" s="21" t="n"/>
      <c r="J5" s="11" t="n"/>
      <c r="K5" s="11" t="n"/>
      <c r="L5" s="15">
        <f>IF(I5&lt;&gt;"Так","",IF(J5="","Оберіть захід",IF(K5="","Вкажіть, де в мережі",IF(D5="","Оберіть літеру STRIDE",IF(F5="","Вкажіть природу",IF(AND(INDEX('В04 Каталог'!$C$5:$C$19,MATCH(J5,'В04 Каталог'!$B$5:$B$19,0))="Лабораторна",F5="фізична",INDEX('В04 Каталог'!$A$5:$A$19,MATCH(J5,'В04 Каталог'!$B$5:$B$19,0))&lt;&gt;"L10"),"Мережевий захід не закриває фізичну загрозу",IF(AND(INDEX('В04 Каталог'!$C$5:$C$19,MATCH(J5,'В04 Каталог'!$B$5:$B$19,0))="Лабораторна",ISERROR(SEARCH(LEFT(D5,1),INDEX('В04 Каталог'!$D$5:$D$19,MATCH(J5,'В04 Каталог'!$B$5:$B$19,0))))),"Захід не діє на цей тип загрози",IF(AND(INDEX('В04 Каталог'!$C$5:$C$19,MATCH(J5,'В04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IF(J5="","",IFERROR(INDEX('В04 Каталог'!$E$5:$E$19,MATCH(J5,'В04 Каталог'!$B$5:$B$19,0)),""))</f>
        <v/>
      </c>
      <c r="N5" s="22">
        <f>IF(J5="","",IFERROR(INDEX('В04 Каталог'!$C$5:$C$19,MATCH(J5,'В04 Каталог'!$B$5:$B$19,0)),""))</f>
        <v/>
      </c>
      <c r="O5" s="21" t="n"/>
    </row>
    <row r="6">
      <c r="A6" s="15" t="n">
        <v>2</v>
      </c>
      <c r="B6" s="11" t="n"/>
      <c r="C6" s="11" t="n"/>
      <c r="D6" s="21" t="n"/>
      <c r="E6" s="11" t="n"/>
      <c r="F6" s="21" t="n"/>
      <c r="G6" s="21" t="n"/>
      <c r="H6" s="11" t="n"/>
      <c r="I6" s="21" t="n"/>
      <c r="J6" s="11" t="n"/>
      <c r="K6" s="11" t="n"/>
      <c r="L6" s="15">
        <f>IF(I6&lt;&gt;"Так","",IF(J6="","Оберіть захід",IF(K6="","Вкажіть, де в мережі",IF(D6="","Оберіть літеру STRIDE",IF(F6="","Вкажіть природу",IF(AND(INDEX('В04 Каталог'!$C$5:$C$19,MATCH(J6,'В04 Каталог'!$B$5:$B$19,0))="Лабораторна",F6="фізична",INDEX('В04 Каталог'!$A$5:$A$19,MATCH(J6,'В04 Каталог'!$B$5:$B$19,0))&lt;&gt;"L10"),"Мережевий захід не закриває фізичну загрозу",IF(AND(INDEX('В04 Каталог'!$C$5:$C$19,MATCH(J6,'В04 Каталог'!$B$5:$B$19,0))="Лабораторна",ISERROR(SEARCH(LEFT(D6,1),INDEX('В04 Каталог'!$D$5:$D$19,MATCH(J6,'В04 Каталог'!$B$5:$B$19,0))))),"Захід не діє на цей тип загрози",IF(AND(INDEX('В04 Каталог'!$C$5:$C$19,MATCH(J6,'В04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IF(J6="","",IFERROR(INDEX('В04 Каталог'!$E$5:$E$19,MATCH(J6,'В04 Каталог'!$B$5:$B$19,0)),""))</f>
        <v/>
      </c>
      <c r="N6" s="22">
        <f>IF(J6="","",IFERROR(INDEX('В04 Каталог'!$C$5:$C$19,MATCH(J6,'В04 Каталог'!$B$5:$B$19,0)),""))</f>
        <v/>
      </c>
      <c r="O6" s="21" t="n"/>
    </row>
    <row r="7">
      <c r="A7" s="15" t="n">
        <v>3</v>
      </c>
      <c r="B7" s="11" t="n"/>
      <c r="C7" s="11" t="n"/>
      <c r="D7" s="21" t="n"/>
      <c r="E7" s="11" t="n"/>
      <c r="F7" s="21" t="n"/>
      <c r="G7" s="21" t="n"/>
      <c r="H7" s="11" t="n"/>
      <c r="I7" s="21" t="n"/>
      <c r="J7" s="11" t="n"/>
      <c r="K7" s="11" t="n"/>
      <c r="L7" s="15">
        <f>IF(I7&lt;&gt;"Так","",IF(J7="","Оберіть захід",IF(K7="","Вкажіть, де в мережі",IF(D7="","Оберіть літеру STRIDE",IF(F7="","Вкажіть природу",IF(AND(INDEX('В04 Каталог'!$C$5:$C$19,MATCH(J7,'В04 Каталог'!$B$5:$B$19,0))="Лабораторна",F7="фізична",INDEX('В04 Каталог'!$A$5:$A$19,MATCH(J7,'В04 Каталог'!$B$5:$B$19,0))&lt;&gt;"L10"),"Мережевий захід не закриває фізичну загрозу",IF(AND(INDEX('В04 Каталог'!$C$5:$C$19,MATCH(J7,'В04 Каталог'!$B$5:$B$19,0))="Лабораторна",ISERROR(SEARCH(LEFT(D7,1),INDEX('В04 Каталог'!$D$5:$D$19,MATCH(J7,'В04 Каталог'!$B$5:$B$19,0))))),"Захід не діє на цей тип загрози",IF(AND(INDEX('В04 Каталог'!$C$5:$C$19,MATCH(J7,'В04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IF(J7="","",IFERROR(INDEX('В04 Каталог'!$E$5:$E$19,MATCH(J7,'В04 Каталог'!$B$5:$B$19,0)),""))</f>
        <v/>
      </c>
      <c r="N7" s="22">
        <f>IF(J7="","",IFERROR(INDEX('В04 Каталог'!$C$5:$C$19,MATCH(J7,'В04 Каталог'!$B$5:$B$19,0)),""))</f>
        <v/>
      </c>
      <c r="O7" s="21" t="n"/>
    </row>
    <row r="8">
      <c r="A8" s="15" t="n">
        <v>4</v>
      </c>
      <c r="B8" s="11" t="n"/>
      <c r="C8" s="11" t="n"/>
      <c r="D8" s="21" t="n"/>
      <c r="E8" s="11" t="n"/>
      <c r="F8" s="21" t="n"/>
      <c r="G8" s="21" t="n"/>
      <c r="H8" s="11" t="n"/>
      <c r="I8" s="21" t="n"/>
      <c r="J8" s="11" t="n"/>
      <c r="K8" s="11" t="n"/>
      <c r="L8" s="15">
        <f>IF(I8&lt;&gt;"Так","",IF(J8="","Оберіть захід",IF(K8="","Вкажіть, де в мережі",IF(D8="","Оберіть літеру STRIDE",IF(F8="","Вкажіть природу",IF(AND(INDEX('В04 Каталог'!$C$5:$C$19,MATCH(J8,'В04 Каталог'!$B$5:$B$19,0))="Лабораторна",F8="фізична",INDEX('В04 Каталог'!$A$5:$A$19,MATCH(J8,'В04 Каталог'!$B$5:$B$19,0))&lt;&gt;"L10"),"Мережевий захід не закриває фізичну загрозу",IF(AND(INDEX('В04 Каталог'!$C$5:$C$19,MATCH(J8,'В04 Каталог'!$B$5:$B$19,0))="Лабораторна",ISERROR(SEARCH(LEFT(D8,1),INDEX('В04 Каталог'!$D$5:$D$19,MATCH(J8,'В04 Каталог'!$B$5:$B$19,0))))),"Захід не діє на цей тип загрози",IF(AND(INDEX('В04 Каталог'!$C$5:$C$19,MATCH(J8,'В04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IF(J8="","",IFERROR(INDEX('В04 Каталог'!$E$5:$E$19,MATCH(J8,'В04 Каталог'!$B$5:$B$19,0)),""))</f>
        <v/>
      </c>
      <c r="N8" s="22">
        <f>IF(J8="","",IFERROR(INDEX('В04 Каталог'!$C$5:$C$19,MATCH(J8,'В04 Каталог'!$B$5:$B$19,0)),""))</f>
        <v/>
      </c>
      <c r="O8" s="21" t="n"/>
    </row>
    <row r="9">
      <c r="A9" s="15" t="n">
        <v>5</v>
      </c>
      <c r="B9" s="11" t="n"/>
      <c r="C9" s="11" t="n"/>
      <c r="D9" s="21" t="n"/>
      <c r="E9" s="11" t="n"/>
      <c r="F9" s="21" t="n"/>
      <c r="G9" s="21" t="n"/>
      <c r="H9" s="11" t="n"/>
      <c r="I9" s="21" t="n"/>
      <c r="J9" s="11" t="n"/>
      <c r="K9" s="11" t="n"/>
      <c r="L9" s="15">
        <f>IF(I9&lt;&gt;"Так","",IF(J9="","Оберіть захід",IF(K9="","Вкажіть, де в мережі",IF(D9="","Оберіть літеру STRIDE",IF(F9="","Вкажіть природу",IF(AND(INDEX('В04 Каталог'!$C$5:$C$19,MATCH(J9,'В04 Каталог'!$B$5:$B$19,0))="Лабораторна",F9="фізична",INDEX('В04 Каталог'!$A$5:$A$19,MATCH(J9,'В04 Каталог'!$B$5:$B$19,0))&lt;&gt;"L10"),"Мережевий захід не закриває фізичну загрозу",IF(AND(INDEX('В04 Каталог'!$C$5:$C$19,MATCH(J9,'В04 Каталог'!$B$5:$B$19,0))="Лабораторна",ISERROR(SEARCH(LEFT(D9,1),INDEX('В04 Каталог'!$D$5:$D$19,MATCH(J9,'В04 Каталог'!$B$5:$B$19,0))))),"Захід не діє на цей тип загрози",IF(AND(INDEX('В04 Каталог'!$C$5:$C$19,MATCH(J9,'В04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IF(J9="","",IFERROR(INDEX('В04 Каталог'!$E$5:$E$19,MATCH(J9,'В04 Каталог'!$B$5:$B$19,0)),""))</f>
        <v/>
      </c>
      <c r="N9" s="22">
        <f>IF(J9="","",IFERROR(INDEX('В04 Каталог'!$C$5:$C$19,MATCH(J9,'В04 Каталог'!$B$5:$B$19,0)),""))</f>
        <v/>
      </c>
      <c r="O9" s="21" t="n"/>
    </row>
    <row r="10">
      <c r="A10" s="15" t="n">
        <v>6</v>
      </c>
      <c r="B10" s="11" t="n"/>
      <c r="C10" s="11" t="n"/>
      <c r="D10" s="21" t="n"/>
      <c r="E10" s="11" t="n"/>
      <c r="F10" s="21" t="n"/>
      <c r="G10" s="21" t="n"/>
      <c r="H10" s="11" t="n"/>
      <c r="I10" s="21" t="n"/>
      <c r="J10" s="11" t="n"/>
      <c r="K10" s="11" t="n"/>
      <c r="L10" s="15">
        <f>IF(I10&lt;&gt;"Так","",IF(J10="","Оберіть захід",IF(K10="","Вкажіть, де в мережі",IF(D10="","Оберіть літеру STRIDE",IF(F10="","Вкажіть природу",IF(AND(INDEX('В04 Каталог'!$C$5:$C$19,MATCH(J10,'В04 Каталог'!$B$5:$B$19,0))="Лабораторна",F10="фізична",INDEX('В04 Каталог'!$A$5:$A$19,MATCH(J10,'В04 Каталог'!$B$5:$B$19,0))&lt;&gt;"L10"),"Мережевий захід не закриває фізичну загрозу",IF(AND(INDEX('В04 Каталог'!$C$5:$C$19,MATCH(J10,'В04 Каталог'!$B$5:$B$19,0))="Лабораторна",ISERROR(SEARCH(LEFT(D10,1),INDEX('В04 Каталог'!$D$5:$D$19,MATCH(J10,'В04 Каталог'!$B$5:$B$19,0))))),"Захід не діє на цей тип загрози",IF(AND(INDEX('В04 Каталог'!$C$5:$C$19,MATCH(J10,'В04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IF(J10="","",IFERROR(INDEX('В04 Каталог'!$E$5:$E$19,MATCH(J10,'В04 Каталог'!$B$5:$B$19,0)),""))</f>
        <v/>
      </c>
      <c r="N10" s="22">
        <f>IF(J10="","",IFERROR(INDEX('В04 Каталог'!$C$5:$C$19,MATCH(J10,'В04 Каталог'!$B$5:$B$19,0)),""))</f>
        <v/>
      </c>
      <c r="O10" s="21" t="n"/>
    </row>
    <row r="11">
      <c r="A11" s="15" t="n">
        <v>7</v>
      </c>
      <c r="B11" s="11" t="n"/>
      <c r="C11" s="11" t="n"/>
      <c r="D11" s="21" t="n"/>
      <c r="E11" s="11" t="n"/>
      <c r="F11" s="21" t="n"/>
      <c r="G11" s="21" t="n"/>
      <c r="H11" s="11" t="n"/>
      <c r="I11" s="21" t="n"/>
      <c r="J11" s="11" t="n"/>
      <c r="K11" s="11" t="n"/>
      <c r="L11" s="15">
        <f>IF(I11&lt;&gt;"Так","",IF(J11="","Оберіть захід",IF(K11="","Вкажіть, де в мережі",IF(D11="","Оберіть літеру STRIDE",IF(F11="","Вкажіть природу",IF(AND(INDEX('В04 Каталог'!$C$5:$C$19,MATCH(J11,'В04 Каталог'!$B$5:$B$19,0))="Лабораторна",F11="фізична",INDEX('В04 Каталог'!$A$5:$A$19,MATCH(J11,'В04 Каталог'!$B$5:$B$19,0))&lt;&gt;"L10"),"Мережевий захід не закриває фізичну загрозу",IF(AND(INDEX('В04 Каталог'!$C$5:$C$19,MATCH(J11,'В04 Каталог'!$B$5:$B$19,0))="Лабораторна",ISERROR(SEARCH(LEFT(D11,1),INDEX('В04 Каталог'!$D$5:$D$19,MATCH(J11,'В04 Каталог'!$B$5:$B$19,0))))),"Захід не діє на цей тип загрози",IF(AND(INDEX('В04 Каталог'!$C$5:$C$19,MATCH(J11,'В04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IF(J11="","",IFERROR(INDEX('В04 Каталог'!$E$5:$E$19,MATCH(J11,'В04 Каталог'!$B$5:$B$19,0)),""))</f>
        <v/>
      </c>
      <c r="N11" s="22">
        <f>IF(J11="","",IFERROR(INDEX('В04 Каталог'!$C$5:$C$19,MATCH(J11,'В04 Каталог'!$B$5:$B$19,0)),""))</f>
        <v/>
      </c>
      <c r="O11" s="21" t="n"/>
    </row>
    <row r="12">
      <c r="A12" s="15" t="n">
        <v>8</v>
      </c>
      <c r="B12" s="11" t="n"/>
      <c r="C12" s="11" t="n"/>
      <c r="D12" s="21" t="n"/>
      <c r="E12" s="11" t="n"/>
      <c r="F12" s="21" t="n"/>
      <c r="G12" s="21" t="n"/>
      <c r="H12" s="11" t="n"/>
      <c r="I12" s="21" t="n"/>
      <c r="J12" s="11" t="n"/>
      <c r="K12" s="11" t="n"/>
      <c r="L12" s="15">
        <f>IF(I12&lt;&gt;"Так","",IF(J12="","Оберіть захід",IF(K12="","Вкажіть, де в мережі",IF(D12="","Оберіть літеру STRIDE",IF(F12="","Вкажіть природу",IF(AND(INDEX('В04 Каталог'!$C$5:$C$19,MATCH(J12,'В04 Каталог'!$B$5:$B$19,0))="Лабораторна",F12="фізична",INDEX('В04 Каталог'!$A$5:$A$19,MATCH(J12,'В04 Каталог'!$B$5:$B$19,0))&lt;&gt;"L10"),"Мережевий захід не закриває фізичну загрозу",IF(AND(INDEX('В04 Каталог'!$C$5:$C$19,MATCH(J12,'В04 Каталог'!$B$5:$B$19,0))="Лабораторна",ISERROR(SEARCH(LEFT(D12,1),INDEX('В04 Каталог'!$D$5:$D$19,MATCH(J12,'В04 Каталог'!$B$5:$B$19,0))))),"Захід не діє на цей тип загрози",IF(AND(INDEX('В04 Каталог'!$C$5:$C$19,MATCH(J12,'В04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IF(J12="","",IFERROR(INDEX('В04 Каталог'!$E$5:$E$19,MATCH(J12,'В04 Каталог'!$B$5:$B$19,0)),""))</f>
        <v/>
      </c>
      <c r="N12" s="22">
        <f>IF(J12="","",IFERROR(INDEX('В04 Каталог'!$C$5:$C$19,MATCH(J12,'В04 Каталог'!$B$5:$B$19,0)),""))</f>
        <v/>
      </c>
      <c r="O12" s="21" t="n"/>
    </row>
    <row r="13">
      <c r="A13" s="15" t="n">
        <v>9</v>
      </c>
      <c r="B13" s="11" t="n"/>
      <c r="C13" s="11" t="n"/>
      <c r="D13" s="21" t="n"/>
      <c r="E13" s="11" t="n"/>
      <c r="F13" s="21" t="n"/>
      <c r="G13" s="21" t="n"/>
      <c r="H13" s="11" t="n"/>
      <c r="I13" s="21" t="n"/>
      <c r="J13" s="11" t="n"/>
      <c r="K13" s="11" t="n"/>
      <c r="L13" s="15">
        <f>IF(I13&lt;&gt;"Так","",IF(J13="","Оберіть захід",IF(K13="","Вкажіть, де в мережі",IF(D13="","Оберіть літеру STRIDE",IF(F13="","Вкажіть природу",IF(AND(INDEX('В04 Каталог'!$C$5:$C$19,MATCH(J13,'В04 Каталог'!$B$5:$B$19,0))="Лабораторна",F13="фізична",INDEX('В04 Каталог'!$A$5:$A$19,MATCH(J13,'В04 Каталог'!$B$5:$B$19,0))&lt;&gt;"L10"),"Мережевий захід не закриває фізичну загрозу",IF(AND(INDEX('В04 Каталог'!$C$5:$C$19,MATCH(J13,'В04 Каталог'!$B$5:$B$19,0))="Лабораторна",ISERROR(SEARCH(LEFT(D13,1),INDEX('В04 Каталог'!$D$5:$D$19,MATCH(J13,'В04 Каталог'!$B$5:$B$19,0))))),"Захід не діє на цей тип загрози",IF(AND(INDEX('В04 Каталог'!$C$5:$C$19,MATCH(J13,'В04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IF(J13="","",IFERROR(INDEX('В04 Каталог'!$E$5:$E$19,MATCH(J13,'В04 Каталог'!$B$5:$B$19,0)),""))</f>
        <v/>
      </c>
      <c r="N13" s="22">
        <f>IF(J13="","",IFERROR(INDEX('В04 Каталог'!$C$5:$C$19,MATCH(J13,'В04 Каталог'!$B$5:$B$19,0)),""))</f>
        <v/>
      </c>
      <c r="O13" s="21" t="n"/>
    </row>
    <row r="14">
      <c r="A14" s="15" t="n">
        <v>10</v>
      </c>
      <c r="B14" s="11" t="n"/>
      <c r="C14" s="11" t="n"/>
      <c r="D14" s="21" t="n"/>
      <c r="E14" s="11" t="n"/>
      <c r="F14" s="21" t="n"/>
      <c r="G14" s="21" t="n"/>
      <c r="H14" s="11" t="n"/>
      <c r="I14" s="21" t="n"/>
      <c r="J14" s="11" t="n"/>
      <c r="K14" s="11" t="n"/>
      <c r="L14" s="15">
        <f>IF(I14&lt;&gt;"Так","",IF(J14="","Оберіть захід",IF(K14="","Вкажіть, де в мережі",IF(D14="","Оберіть літеру STRIDE",IF(F14="","Вкажіть природу",IF(AND(INDEX('В04 Каталог'!$C$5:$C$19,MATCH(J14,'В04 Каталог'!$B$5:$B$19,0))="Лабораторна",F14="фізична",INDEX('В04 Каталог'!$A$5:$A$19,MATCH(J14,'В04 Каталог'!$B$5:$B$19,0))&lt;&gt;"L10"),"Мережевий захід не закриває фізичну загрозу",IF(AND(INDEX('В04 Каталог'!$C$5:$C$19,MATCH(J14,'В04 Каталог'!$B$5:$B$19,0))="Лабораторна",ISERROR(SEARCH(LEFT(D14,1),INDEX('В04 Каталог'!$D$5:$D$19,MATCH(J14,'В04 Каталог'!$B$5:$B$19,0))))),"Захід не діє на цей тип загрози",IF(AND(INDEX('В04 Каталог'!$C$5:$C$19,MATCH(J14,'В04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IF(J14="","",IFERROR(INDEX('В04 Каталог'!$E$5:$E$19,MATCH(J14,'В04 Каталог'!$B$5:$B$19,0)),""))</f>
        <v/>
      </c>
      <c r="N14" s="22">
        <f>IF(J14="","",IFERROR(INDEX('В04 Каталог'!$C$5:$C$19,MATCH(J14,'В04 Каталог'!$B$5:$B$19,0)),""))</f>
        <v/>
      </c>
      <c r="O14" s="21" t="n"/>
    </row>
    <row r="15">
      <c r="A15" s="15" t="n">
        <v>11</v>
      </c>
      <c r="B15" s="11" t="n"/>
      <c r="C15" s="11" t="n"/>
      <c r="D15" s="21" t="n"/>
      <c r="E15" s="11" t="n"/>
      <c r="F15" s="21" t="n"/>
      <c r="G15" s="21" t="n"/>
      <c r="H15" s="11" t="n"/>
      <c r="I15" s="21" t="n"/>
      <c r="J15" s="11" t="n"/>
      <c r="K15" s="11" t="n"/>
      <c r="L15" s="15">
        <f>IF(I15&lt;&gt;"Так","",IF(J15="","Оберіть захід",IF(K15="","Вкажіть, де в мережі",IF(D15="","Оберіть літеру STRIDE",IF(F15="","Вкажіть природу",IF(AND(INDEX('В04 Каталог'!$C$5:$C$19,MATCH(J15,'В04 Каталог'!$B$5:$B$19,0))="Лабораторна",F15="фізична",INDEX('В04 Каталог'!$A$5:$A$19,MATCH(J15,'В04 Каталог'!$B$5:$B$19,0))&lt;&gt;"L10"),"Мережевий захід не закриває фізичну загрозу",IF(AND(INDEX('В04 Каталог'!$C$5:$C$19,MATCH(J15,'В04 Каталог'!$B$5:$B$19,0))="Лабораторна",ISERROR(SEARCH(LEFT(D15,1),INDEX('В04 Каталог'!$D$5:$D$19,MATCH(J15,'В04 Каталог'!$B$5:$B$19,0))))),"Захід не діє на цей тип загрози",IF(AND(INDEX('В04 Каталог'!$C$5:$C$19,MATCH(J15,'В04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IF(J15="","",IFERROR(INDEX('В04 Каталог'!$E$5:$E$19,MATCH(J15,'В04 Каталог'!$B$5:$B$19,0)),""))</f>
        <v/>
      </c>
      <c r="N15" s="22">
        <f>IF(J15="","",IFERROR(INDEX('В04 Каталог'!$C$5:$C$19,MATCH(J15,'В04 Каталог'!$B$5:$B$19,0)),""))</f>
        <v/>
      </c>
      <c r="O15" s="21" t="n"/>
    </row>
    <row r="16">
      <c r="A16" s="15" t="n">
        <v>12</v>
      </c>
      <c r="B16" s="11" t="n"/>
      <c r="C16" s="11" t="n"/>
      <c r="D16" s="21" t="n"/>
      <c r="E16" s="11" t="n"/>
      <c r="F16" s="21" t="n"/>
      <c r="G16" s="21" t="n"/>
      <c r="H16" s="11" t="n"/>
      <c r="I16" s="21" t="n"/>
      <c r="J16" s="11" t="n"/>
      <c r="K16" s="11" t="n"/>
      <c r="L16" s="15">
        <f>IF(I16&lt;&gt;"Так","",IF(J16="","Оберіть захід",IF(K16="","Вкажіть, де в мережі",IF(D16="","Оберіть літеру STRIDE",IF(F16="","Вкажіть природу",IF(AND(INDEX('В04 Каталог'!$C$5:$C$19,MATCH(J16,'В04 Каталог'!$B$5:$B$19,0))="Лабораторна",F16="фізична",INDEX('В04 Каталог'!$A$5:$A$19,MATCH(J16,'В04 Каталог'!$B$5:$B$19,0))&lt;&gt;"L10"),"Мережевий захід не закриває фізичну загрозу",IF(AND(INDEX('В04 Каталог'!$C$5:$C$19,MATCH(J16,'В04 Каталог'!$B$5:$B$19,0))="Лабораторна",ISERROR(SEARCH(LEFT(D16,1),INDEX('В04 Каталог'!$D$5:$D$19,MATCH(J16,'В04 Каталог'!$B$5:$B$19,0))))),"Захід не діє на цей тип загрози",IF(AND(INDEX('В04 Каталог'!$C$5:$C$19,MATCH(J16,'В04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IF(J16="","",IFERROR(INDEX('В04 Каталог'!$E$5:$E$19,MATCH(J16,'В04 Каталог'!$B$5:$B$19,0)),""))</f>
        <v/>
      </c>
      <c r="N16" s="22">
        <f>IF(J16="","",IFERROR(INDEX('В04 Каталог'!$C$5:$C$19,MATCH(J16,'В04 Каталог'!$B$5:$B$19,0)),""))</f>
        <v/>
      </c>
      <c r="O16" s="21" t="n"/>
    </row>
    <row r="17">
      <c r="A17" s="15" t="n">
        <v>13</v>
      </c>
      <c r="B17" s="11" t="n"/>
      <c r="C17" s="11" t="n"/>
      <c r="D17" s="21" t="n"/>
      <c r="E17" s="11" t="n"/>
      <c r="F17" s="21" t="n"/>
      <c r="G17" s="21" t="n"/>
      <c r="H17" s="11" t="n"/>
      <c r="I17" s="21" t="n"/>
      <c r="J17" s="11" t="n"/>
      <c r="K17" s="11" t="n"/>
      <c r="L17" s="15">
        <f>IF(I17&lt;&gt;"Так","",IF(J17="","Оберіть захід",IF(K17="","Вкажіть, де в мережі",IF(D17="","Оберіть літеру STRIDE",IF(F17="","Вкажіть природу",IF(AND(INDEX('В04 Каталог'!$C$5:$C$19,MATCH(J17,'В04 Каталог'!$B$5:$B$19,0))="Лабораторна",F17="фізична",INDEX('В04 Каталог'!$A$5:$A$19,MATCH(J17,'В04 Каталог'!$B$5:$B$19,0))&lt;&gt;"L10"),"Мережевий захід не закриває фізичну загрозу",IF(AND(INDEX('В04 Каталог'!$C$5:$C$19,MATCH(J17,'В04 Каталог'!$B$5:$B$19,0))="Лабораторна",ISERROR(SEARCH(LEFT(D17,1),INDEX('В04 Каталог'!$D$5:$D$19,MATCH(J17,'В04 Каталог'!$B$5:$B$19,0))))),"Захід не діє на цей тип загрози",IF(AND(INDEX('В04 Каталог'!$C$5:$C$19,MATCH(J17,'В04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IF(J17="","",IFERROR(INDEX('В04 Каталог'!$E$5:$E$19,MATCH(J17,'В04 Каталог'!$B$5:$B$19,0)),""))</f>
        <v/>
      </c>
      <c r="N17" s="22">
        <f>IF(J17="","",IFERROR(INDEX('В04 Каталог'!$C$5:$C$19,MATCH(J17,'В04 Каталог'!$B$5:$B$19,0)),""))</f>
        <v/>
      </c>
      <c r="O17" s="21" t="n"/>
    </row>
    <row r="18">
      <c r="A18" s="15" t="n">
        <v>14</v>
      </c>
      <c r="B18" s="11" t="n"/>
      <c r="C18" s="11" t="n"/>
      <c r="D18" s="21" t="n"/>
      <c r="E18" s="11" t="n"/>
      <c r="F18" s="21" t="n"/>
      <c r="G18" s="21" t="n"/>
      <c r="H18" s="11" t="n"/>
      <c r="I18" s="21" t="n"/>
      <c r="J18" s="11" t="n"/>
      <c r="K18" s="11" t="n"/>
      <c r="L18" s="15">
        <f>IF(I18&lt;&gt;"Так","",IF(J18="","Оберіть захід",IF(K18="","Вкажіть, де в мережі",IF(D18="","Оберіть літеру STRIDE",IF(F18="","Вкажіть природу",IF(AND(INDEX('В04 Каталог'!$C$5:$C$19,MATCH(J18,'В04 Каталог'!$B$5:$B$19,0))="Лабораторна",F18="фізична",INDEX('В04 Каталог'!$A$5:$A$19,MATCH(J18,'В04 Каталог'!$B$5:$B$19,0))&lt;&gt;"L10"),"Мережевий захід не закриває фізичну загрозу",IF(AND(INDEX('В04 Каталог'!$C$5:$C$19,MATCH(J18,'В04 Каталог'!$B$5:$B$19,0))="Лабораторна",ISERROR(SEARCH(LEFT(D18,1),INDEX('В04 Каталог'!$D$5:$D$19,MATCH(J18,'В04 Каталог'!$B$5:$B$19,0))))),"Захід не діє на цей тип загрози",IF(AND(INDEX('В04 Каталог'!$C$5:$C$19,MATCH(J18,'В04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IF(J18="","",IFERROR(INDEX('В04 Каталог'!$E$5:$E$19,MATCH(J18,'В04 Каталог'!$B$5:$B$19,0)),""))</f>
        <v/>
      </c>
      <c r="N18" s="22">
        <f>IF(J18="","",IFERROR(INDEX('В04 Каталог'!$C$5:$C$19,MATCH(J18,'В04 Каталог'!$B$5:$B$19,0)),""))</f>
        <v/>
      </c>
      <c r="O18" s="21" t="n"/>
    </row>
    <row r="19">
      <c r="A19" s="15" t="n">
        <v>15</v>
      </c>
      <c r="B19" s="11" t="n"/>
      <c r="C19" s="11" t="n"/>
      <c r="D19" s="21" t="n"/>
      <c r="E19" s="11" t="n"/>
      <c r="F19" s="21" t="n"/>
      <c r="G19" s="21" t="n"/>
      <c r="H19" s="11" t="n"/>
      <c r="I19" s="21" t="n"/>
      <c r="J19" s="11" t="n"/>
      <c r="K19" s="11" t="n"/>
      <c r="L19" s="15">
        <f>IF(I19&lt;&gt;"Так","",IF(J19="","Оберіть захід",IF(K19="","Вкажіть, де в мережі",IF(D19="","Оберіть літеру STRIDE",IF(F19="","Вкажіть природу",IF(AND(INDEX('В04 Каталог'!$C$5:$C$19,MATCH(J19,'В04 Каталог'!$B$5:$B$19,0))="Лабораторна",F19="фізична",INDEX('В04 Каталог'!$A$5:$A$19,MATCH(J19,'В04 Каталог'!$B$5:$B$19,0))&lt;&gt;"L10"),"Мережевий захід не закриває фізичну загрозу",IF(AND(INDEX('В04 Каталог'!$C$5:$C$19,MATCH(J19,'В04 Каталог'!$B$5:$B$19,0))="Лабораторна",ISERROR(SEARCH(LEFT(D19,1),INDEX('В04 Каталог'!$D$5:$D$19,MATCH(J19,'В04 Каталог'!$B$5:$B$19,0))))),"Захід не діє на цей тип загрози",IF(AND(INDEX('В04 Каталог'!$C$5:$C$19,MATCH(J19,'В04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IF(J19="","",IFERROR(INDEX('В04 Каталог'!$E$5:$E$19,MATCH(J19,'В04 Каталог'!$B$5:$B$19,0)),""))</f>
        <v/>
      </c>
      <c r="N19" s="22">
        <f>IF(J19="","",IFERROR(INDEX('В04 Каталог'!$C$5:$C$19,MATCH(J19,'В04 Каталог'!$B$5:$B$19,0)),""))</f>
        <v/>
      </c>
      <c r="O19" s="21" t="n"/>
    </row>
    <row r="20">
      <c r="A20" s="15" t="n">
        <v>16</v>
      </c>
      <c r="B20" s="11" t="n"/>
      <c r="C20" s="11" t="n"/>
      <c r="D20" s="21" t="n"/>
      <c r="E20" s="11" t="n"/>
      <c r="F20" s="21" t="n"/>
      <c r="G20" s="21" t="n"/>
      <c r="H20" s="11" t="n"/>
      <c r="I20" s="21" t="n"/>
      <c r="J20" s="11" t="n"/>
      <c r="K20" s="11" t="n"/>
      <c r="L20" s="15">
        <f>IF(I20&lt;&gt;"Так","",IF(J20="","Оберіть захід",IF(K20="","Вкажіть, де в мережі",IF(D20="","Оберіть літеру STRIDE",IF(F20="","Вкажіть природу",IF(AND(INDEX('В04 Каталог'!$C$5:$C$19,MATCH(J20,'В04 Каталог'!$B$5:$B$19,0))="Лабораторна",F20="фізична",INDEX('В04 Каталог'!$A$5:$A$19,MATCH(J20,'В04 Каталог'!$B$5:$B$19,0))&lt;&gt;"L10"),"Мережевий захід не закриває фізичну загрозу",IF(AND(INDEX('В04 Каталог'!$C$5:$C$19,MATCH(J20,'В04 Каталог'!$B$5:$B$19,0))="Лабораторна",ISERROR(SEARCH(LEFT(D20,1),INDEX('В04 Каталог'!$D$5:$D$19,MATCH(J20,'В04 Каталог'!$B$5:$B$19,0))))),"Захід не діє на цей тип загрози",IF(AND(INDEX('В04 Каталог'!$C$5:$C$19,MATCH(J20,'В04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IF(J20="","",IFERROR(INDEX('В04 Каталог'!$E$5:$E$19,MATCH(J20,'В04 Каталог'!$B$5:$B$19,0)),""))</f>
        <v/>
      </c>
      <c r="N20" s="22">
        <f>IF(J20="","",IFERROR(INDEX('В04 Каталог'!$C$5:$C$19,MATCH(J20,'В04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природу",IF(AND(INDEX('В04 Каталог'!$C$5:$C$19,MATCH(J21,'В04 Каталог'!$B$5:$B$19,0))="Лабораторна",F21="фізична",INDEX('В04 Каталог'!$A$5:$A$19,MATCH(J21,'В04 Каталог'!$B$5:$B$19,0))&lt;&gt;"L10"),"Мережевий захід не закриває фізичну загрозу",IF(AND(INDEX('В04 Каталог'!$C$5:$C$19,MATCH(J21,'В04 Каталог'!$B$5:$B$19,0))="Лабораторна",ISERROR(SEARCH(LEFT(D21,1),INDEX('В04 Каталог'!$D$5:$D$19,MATCH(J21,'В04 Каталог'!$B$5:$B$19,0))))),"Захід не діє на цей тип загрози",IF(AND(INDEX('В04 Каталог'!$C$5:$C$19,MATCH(J21,'В04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IF(J21="","",IFERROR(INDEX('В04 Каталог'!$E$5:$E$19,MATCH(J21,'В04 Каталог'!$B$5:$B$19,0)),""))</f>
        <v/>
      </c>
      <c r="N21" s="22">
        <f>IF(J21="","",IFERROR(INDEX('В04 Каталог'!$C$5:$C$19,MATCH(J21,'В04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природу",IF(AND(INDEX('В04 Каталог'!$C$5:$C$19,MATCH(J22,'В04 Каталог'!$B$5:$B$19,0))="Лабораторна",F22="фізична",INDEX('В04 Каталог'!$A$5:$A$19,MATCH(J22,'В04 Каталог'!$B$5:$B$19,0))&lt;&gt;"L10"),"Мережевий захід не закриває фізичну загрозу",IF(AND(INDEX('В04 Каталог'!$C$5:$C$19,MATCH(J22,'В04 Каталог'!$B$5:$B$19,0))="Лабораторна",ISERROR(SEARCH(LEFT(D22,1),INDEX('В04 Каталог'!$D$5:$D$19,MATCH(J22,'В04 Каталог'!$B$5:$B$19,0))))),"Захід не діє на цей тип загрози",IF(AND(INDEX('В04 Каталог'!$C$5:$C$19,MATCH(J22,'В04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IF(J22="","",IFERROR(INDEX('В04 Каталог'!$E$5:$E$19,MATCH(J22,'В04 Каталог'!$B$5:$B$19,0)),""))</f>
        <v/>
      </c>
      <c r="N22" s="22">
        <f>IF(J22="","",IFERROR(INDEX('В04 Каталог'!$C$5:$C$19,MATCH(J22,'В04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природу",IF(AND(INDEX('В04 Каталог'!$C$5:$C$19,MATCH(J23,'В04 Каталог'!$B$5:$B$19,0))="Лабораторна",F23="фізична",INDEX('В04 Каталог'!$A$5:$A$19,MATCH(J23,'В04 Каталог'!$B$5:$B$19,0))&lt;&gt;"L10"),"Мережевий захід не закриває фізичну загрозу",IF(AND(INDEX('В04 Каталог'!$C$5:$C$19,MATCH(J23,'В04 Каталог'!$B$5:$B$19,0))="Лабораторна",ISERROR(SEARCH(LEFT(D23,1),INDEX('В04 Каталог'!$D$5:$D$19,MATCH(J23,'В04 Каталог'!$B$5:$B$19,0))))),"Захід не діє на цей тип загрози",IF(AND(INDEX('В04 Каталог'!$C$5:$C$19,MATCH(J23,'В04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IF(J23="","",IFERROR(INDEX('В04 Каталог'!$E$5:$E$19,MATCH(J23,'В04 Каталог'!$B$5:$B$19,0)),""))</f>
        <v/>
      </c>
      <c r="N23" s="22">
        <f>IF(J23="","",IFERROR(INDEX('В04 Каталог'!$C$5:$C$19,MATCH(J23,'В04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природу",IF(AND(INDEX('В04 Каталог'!$C$5:$C$19,MATCH(J24,'В04 Каталог'!$B$5:$B$19,0))="Лабораторна",F24="фізична",INDEX('В04 Каталог'!$A$5:$A$19,MATCH(J24,'В04 Каталог'!$B$5:$B$19,0))&lt;&gt;"L10"),"Мережевий захід не закриває фізичну загрозу",IF(AND(INDEX('В04 Каталог'!$C$5:$C$19,MATCH(J24,'В04 Каталог'!$B$5:$B$19,0))="Лабораторна",ISERROR(SEARCH(LEFT(D24,1),INDEX('В04 Каталог'!$D$5:$D$19,MATCH(J24,'В04 Каталог'!$B$5:$B$19,0))))),"Захід не діє на цей тип загрози",IF(AND(INDEX('В04 Каталог'!$C$5:$C$19,MATCH(J24,'В04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IF(J24="","",IFERROR(INDEX('В04 Каталог'!$E$5:$E$19,MATCH(J24,'В04 Каталог'!$B$5:$B$19,0)),""))</f>
        <v/>
      </c>
      <c r="N24" s="22">
        <f>IF(J24="","",IFERROR(INDEX('В04 Каталог'!$C$5:$C$19,MATCH(J24,'В04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природу",IF(AND(INDEX('В04 Каталог'!$C$5:$C$19,MATCH(J25,'В04 Каталог'!$B$5:$B$19,0))="Лабораторна",F25="фізична",INDEX('В04 Каталог'!$A$5:$A$19,MATCH(J25,'В04 Каталог'!$B$5:$B$19,0))&lt;&gt;"L10"),"Мережевий захід не закриває фізичну загрозу",IF(AND(INDEX('В04 Каталог'!$C$5:$C$19,MATCH(J25,'В04 Каталог'!$B$5:$B$19,0))="Лабораторна",ISERROR(SEARCH(LEFT(D25,1),INDEX('В04 Каталог'!$D$5:$D$19,MATCH(J25,'В04 Каталог'!$B$5:$B$19,0))))),"Захід не діє на цей тип загрози",IF(AND(INDEX('В04 Каталог'!$C$5:$C$19,MATCH(J25,'В04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IF(J25="","",IFERROR(INDEX('В04 Каталог'!$E$5:$E$19,MATCH(J25,'В04 Каталог'!$B$5:$B$19,0)),""))</f>
        <v/>
      </c>
      <c r="N25" s="22">
        <f>IF(J25="","",IFERROR(INDEX('В04 Каталог'!$C$5:$C$19,MATCH(J25,'В04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природу",IF(AND(INDEX('В04 Каталог'!$C$5:$C$19,MATCH(J26,'В04 Каталог'!$B$5:$B$19,0))="Лабораторна",F26="фізична",INDEX('В04 Каталог'!$A$5:$A$19,MATCH(J26,'В04 Каталог'!$B$5:$B$19,0))&lt;&gt;"L10"),"Мережевий захід не закриває фізичну загрозу",IF(AND(INDEX('В04 Каталог'!$C$5:$C$19,MATCH(J26,'В04 Каталог'!$B$5:$B$19,0))="Лабораторна",ISERROR(SEARCH(LEFT(D26,1),INDEX('В04 Каталог'!$D$5:$D$19,MATCH(J26,'В04 Каталог'!$B$5:$B$19,0))))),"Захід не діє на цей тип загрози",IF(AND(INDEX('В04 Каталог'!$C$5:$C$19,MATCH(J26,'В04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IF(J26="","",IFERROR(INDEX('В04 Каталог'!$E$5:$E$19,MATCH(J26,'В04 Каталог'!$B$5:$B$19,0)),""))</f>
        <v/>
      </c>
      <c r="N26" s="22">
        <f>IF(J26="","",IFERROR(INDEX('В04 Каталог'!$C$5:$C$19,MATCH(J26,'В04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природу",IF(AND(INDEX('В04 Каталог'!$C$5:$C$19,MATCH(J27,'В04 Каталог'!$B$5:$B$19,0))="Лабораторна",F27="фізична",INDEX('В04 Каталог'!$A$5:$A$19,MATCH(J27,'В04 Каталог'!$B$5:$B$19,0))&lt;&gt;"L10"),"Мережевий захід не закриває фізичну загрозу",IF(AND(INDEX('В04 Каталог'!$C$5:$C$19,MATCH(J27,'В04 Каталог'!$B$5:$B$19,0))="Лабораторна",ISERROR(SEARCH(LEFT(D27,1),INDEX('В04 Каталог'!$D$5:$D$19,MATCH(J27,'В04 Каталог'!$B$5:$B$19,0))))),"Захід не діє на цей тип загрози",IF(AND(INDEX('В04 Каталог'!$C$5:$C$19,MATCH(J27,'В04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IF(J27="","",IFERROR(INDEX('В04 Каталог'!$E$5:$E$19,MATCH(J27,'В04 Каталог'!$B$5:$B$19,0)),""))</f>
        <v/>
      </c>
      <c r="N27" s="22">
        <f>IF(J27="","",IFERROR(INDEX('В04 Каталог'!$C$5:$C$19,MATCH(J27,'В04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природу",IF(AND(INDEX('В04 Каталог'!$C$5:$C$19,MATCH(J28,'В04 Каталог'!$B$5:$B$19,0))="Лабораторна",F28="фізична",INDEX('В04 Каталог'!$A$5:$A$19,MATCH(J28,'В04 Каталог'!$B$5:$B$19,0))&lt;&gt;"L10"),"Мережевий захід не закриває фізичну загрозу",IF(AND(INDEX('В04 Каталог'!$C$5:$C$19,MATCH(J28,'В04 Каталог'!$B$5:$B$19,0))="Лабораторна",ISERROR(SEARCH(LEFT(D28,1),INDEX('В04 Каталог'!$D$5:$D$19,MATCH(J28,'В04 Каталог'!$B$5:$B$19,0))))),"Захід не діє на цей тип загрози",IF(AND(INDEX('В04 Каталог'!$C$5:$C$19,MATCH(J28,'В04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IF(J28="","",IFERROR(INDEX('В04 Каталог'!$E$5:$E$19,MATCH(J28,'В04 Каталог'!$B$5:$B$19,0)),""))</f>
        <v/>
      </c>
      <c r="N28" s="22">
        <f>IF(J28="","",IFERROR(INDEX('В04 Каталог'!$C$5:$C$19,MATCH(J28,'В04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природу",IF(AND(INDEX('В04 Каталог'!$C$5:$C$19,MATCH(J29,'В04 Каталог'!$B$5:$B$19,0))="Лабораторна",F29="фізична",INDEX('В04 Каталог'!$A$5:$A$19,MATCH(J29,'В04 Каталог'!$B$5:$B$19,0))&lt;&gt;"L10"),"Мережевий захід не закриває фізичну загрозу",IF(AND(INDEX('В04 Каталог'!$C$5:$C$19,MATCH(J29,'В04 Каталог'!$B$5:$B$19,0))="Лабораторна",ISERROR(SEARCH(LEFT(D29,1),INDEX('В04 Каталог'!$D$5:$D$19,MATCH(J29,'В04 Каталог'!$B$5:$B$19,0))))),"Захід не діє на цей тип загрози",IF(AND(INDEX('В04 Каталог'!$C$5:$C$19,MATCH(J29,'В04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IF(J29="","",IFERROR(INDEX('В04 Каталог'!$E$5:$E$19,MATCH(J29,'В04 Каталог'!$B$5:$B$19,0)),""))</f>
        <v/>
      </c>
      <c r="N29" s="22">
        <f>IF(J29="","",IFERROR(INDEX('В04 Каталог'!$C$5:$C$19,MATCH(J29,'В04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природу",IF(AND(INDEX('В04 Каталог'!$C$5:$C$19,MATCH(J30,'В04 Каталог'!$B$5:$B$19,0))="Лабораторна",F30="фізична",INDEX('В04 Каталог'!$A$5:$A$19,MATCH(J30,'В04 Каталог'!$B$5:$B$19,0))&lt;&gt;"L10"),"Мережевий захід не закриває фізичну загрозу",IF(AND(INDEX('В04 Каталог'!$C$5:$C$19,MATCH(J30,'В04 Каталог'!$B$5:$B$19,0))="Лабораторна",ISERROR(SEARCH(LEFT(D30,1),INDEX('В04 Каталог'!$D$5:$D$19,MATCH(J30,'В04 Каталог'!$B$5:$B$19,0))))),"Захід не діє на цей тип загрози",IF(AND(INDEX('В04 Каталог'!$C$5:$C$19,MATCH(J30,'В04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IF(J30="","",IFERROR(INDEX('В04 Каталог'!$E$5:$E$19,MATCH(J30,'В04 Каталог'!$B$5:$B$19,0)),""))</f>
        <v/>
      </c>
      <c r="N30" s="22">
        <f>IF(J30="","",IFERROR(INDEX('В04 Каталог'!$C$5:$C$19,MATCH(J30,'В04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природу",IF(AND(INDEX('В04 Каталог'!$C$5:$C$19,MATCH(J31,'В04 Каталог'!$B$5:$B$19,0))="Лабораторна",F31="фізична",INDEX('В04 Каталог'!$A$5:$A$19,MATCH(J31,'В04 Каталог'!$B$5:$B$19,0))&lt;&gt;"L10"),"Мережевий захід не закриває фізичну загрозу",IF(AND(INDEX('В04 Каталог'!$C$5:$C$19,MATCH(J31,'В04 Каталог'!$B$5:$B$19,0))="Лабораторна",ISERROR(SEARCH(LEFT(D31,1),INDEX('В04 Каталог'!$D$5:$D$19,MATCH(J31,'В04 Каталог'!$B$5:$B$19,0))))),"Захід не діє на цей тип загрози",IF(AND(INDEX('В04 Каталог'!$C$5:$C$19,MATCH(J31,'В04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IF(J31="","",IFERROR(INDEX('В04 Каталог'!$E$5:$E$19,MATCH(J31,'В04 Каталог'!$B$5:$B$19,0)),""))</f>
        <v/>
      </c>
      <c r="N31" s="22">
        <f>IF(J31="","",IFERROR(INDEX('В04 Каталог'!$C$5:$C$19,MATCH(J31,'В04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природу",IF(AND(INDEX('В04 Каталог'!$C$5:$C$19,MATCH(J32,'В04 Каталог'!$B$5:$B$19,0))="Лабораторна",F32="фізична",INDEX('В04 Каталог'!$A$5:$A$19,MATCH(J32,'В04 Каталог'!$B$5:$B$19,0))&lt;&gt;"L10"),"Мережевий захід не закриває фізичну загрозу",IF(AND(INDEX('В04 Каталог'!$C$5:$C$19,MATCH(J32,'В04 Каталог'!$B$5:$B$19,0))="Лабораторна",ISERROR(SEARCH(LEFT(D32,1),INDEX('В04 Каталог'!$D$5:$D$19,MATCH(J32,'В04 Каталог'!$B$5:$B$19,0))))),"Захід не діє на цей тип загрози",IF(AND(INDEX('В04 Каталог'!$C$5:$C$19,MATCH(J32,'В04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IF(J32="","",IFERROR(INDEX('В04 Каталог'!$E$5:$E$19,MATCH(J32,'В04 Каталог'!$B$5:$B$19,0)),""))</f>
        <v/>
      </c>
      <c r="N32" s="22">
        <f>IF(J32="","",IFERROR(INDEX('В04 Каталог'!$C$5:$C$19,MATCH(J32,'В04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природу",IF(AND(INDEX('В04 Каталог'!$C$5:$C$19,MATCH(J33,'В04 Каталог'!$B$5:$B$19,0))="Лабораторна",F33="фізична",INDEX('В04 Каталог'!$A$5:$A$19,MATCH(J33,'В04 Каталог'!$B$5:$B$19,0))&lt;&gt;"L10"),"Мережевий захід не закриває фізичну загрозу",IF(AND(INDEX('В04 Каталог'!$C$5:$C$19,MATCH(J33,'В04 Каталог'!$B$5:$B$19,0))="Лабораторна",ISERROR(SEARCH(LEFT(D33,1),INDEX('В04 Каталог'!$D$5:$D$19,MATCH(J33,'В04 Каталог'!$B$5:$B$19,0))))),"Захід не діє на цей тип загрози",IF(AND(INDEX('В04 Каталог'!$C$5:$C$19,MATCH(J33,'В04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IF(J33="","",IFERROR(INDEX('В04 Каталог'!$E$5:$E$19,MATCH(J33,'В04 Каталог'!$B$5:$B$19,0)),""))</f>
        <v/>
      </c>
      <c r="N33" s="22">
        <f>IF(J33="","",IFERROR(INDEX('В04 Каталог'!$C$5:$C$19,MATCH(J33,'В04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природу",IF(AND(INDEX('В04 Каталог'!$C$5:$C$19,MATCH(J34,'В04 Каталог'!$B$5:$B$19,0))="Лабораторна",F34="фізична",INDEX('В04 Каталог'!$A$5:$A$19,MATCH(J34,'В04 Каталог'!$B$5:$B$19,0))&lt;&gt;"L10"),"Мережевий захід не закриває фізичну загрозу",IF(AND(INDEX('В04 Каталог'!$C$5:$C$19,MATCH(J34,'В04 Каталог'!$B$5:$B$19,0))="Лабораторна",ISERROR(SEARCH(LEFT(D34,1),INDEX('В04 Каталог'!$D$5:$D$19,MATCH(J34,'В04 Каталог'!$B$5:$B$19,0))))),"Захід не діє на цей тип загрози",IF(AND(INDEX('В04 Каталог'!$C$5:$C$19,MATCH(J34,'В04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IF(J34="","",IFERROR(INDEX('В04 Каталог'!$E$5:$E$19,MATCH(J34,'В04 Каталог'!$B$5:$B$19,0)),""))</f>
        <v/>
      </c>
      <c r="N34" s="22">
        <f>IF(J34="","",IFERROR(INDEX('В04 Каталог'!$C$5:$C$19,MATCH(J34,'В04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='В04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='В04 Каталог'!$B$5:$B$19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548235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2"/>
    <row r="3"/>
    <row r="4">
      <c r="A4" s="23" t="inlineStr">
        <is>
          <t>Загроз у таблиці</t>
        </is>
      </c>
      <c r="B4" s="24">
        <f>COUNTA('В04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COUNTIF('В04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COUNTIF('В04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COUNTIF('В04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COUNTIF('В04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COUNTIF('В04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COUNTIF('В04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COUNTIF('В04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COUNTIF('В04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COUNTIF('В04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COUNTIF('В04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COUNTIF('В04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COUNTIF('В04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COUNTIF('В04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SUMPRODUCT(('В04 Загрози і заходи'!I5:I34="Так")*('В04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COUNTIFS('В04 Загрози і заходи'!I5:I34,"Так",'В04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COUNTIF('В04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548235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3"/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n"/>
      <c r="B5" s="11" t="n"/>
      <c r="C5" s="11" t="n"/>
      <c r="D5" s="11" t="n"/>
    </row>
    <row r="6" ht="70" customHeight="1">
      <c r="A6" s="11" t="n"/>
      <c r="B6" s="11" t="n"/>
      <c r="C6" s="11" t="n"/>
      <c r="D6" s="11" t="n"/>
    </row>
    <row r="7" ht="70" customHeight="1">
      <c r="A7" s="11" t="n"/>
      <c r="B7" s="11" t="n"/>
      <c r="C7" s="11" t="n"/>
      <c r="D7" s="11" t="n"/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1"/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n"/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7030A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05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7030A0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05</t>
        </is>
      </c>
    </row>
    <row r="2"/>
    <row r="3">
      <c r="A3" s="10" t="inlineStr">
        <is>
          <t>Студент (прізвище)</t>
        </is>
      </c>
      <c r="B3" s="11" t="n"/>
    </row>
    <row r="4">
      <c r="A4" s="10" t="inlineStr">
        <is>
          <t>Точка прийому</t>
        </is>
      </c>
      <c r="B4" s="12" t="inlineStr">
        <is>
          <t>POS-кіоск самообслуговування в залі</t>
        </is>
      </c>
    </row>
    <row r="5">
      <c r="A5" s="10" t="inlineStr">
        <is>
          <t>Підключення точки до мережі</t>
        </is>
      </c>
      <c r="B5" s="12" t="inlineStr">
        <is>
          <t>Ethernet-кабель усередині будівлі</t>
        </is>
      </c>
    </row>
    <row r="6">
      <c r="A6" s="10" t="inlineStr">
        <is>
          <t>Зв'язок відділення зі шлюзом</t>
        </is>
      </c>
      <c r="B6" s="12" t="inlineStr">
        <is>
          <t>виділена лінія до головного офісу</t>
        </is>
      </c>
    </row>
    <row r="7">
      <c r="A7" s="10" t="inlineStr">
        <is>
          <t>Особливий учасник</t>
        </is>
      </c>
      <c r="B7" s="12" t="inlineStr">
        <is>
          <t>процесинговий центр, що адмініструє платіжний шлюз: адміністрування платіжного шлюзу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0"/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n"/>
      <c r="C13" s="15">
        <f>A13&amp;". "&amp;B13</f>
        <v/>
      </c>
    </row>
    <row r="14">
      <c r="A14" s="15" t="inlineStr">
        <is>
          <t>M2</t>
        </is>
      </c>
      <c r="B14" s="11" t="n"/>
      <c r="C14" s="15">
        <f>A14&amp;". "&amp;B14</f>
        <v/>
      </c>
    </row>
    <row r="15">
      <c r="A15" s="15" t="inlineStr">
        <is>
          <t>M3</t>
        </is>
      </c>
      <c r="B15" s="11" t="n"/>
      <c r="C15" s="15">
        <f>A15&amp;". "&amp;B15</f>
        <v/>
      </c>
    </row>
    <row r="16">
      <c r="A16" s="15" t="inlineStr">
        <is>
          <t>M4</t>
        </is>
      </c>
      <c r="B16" s="11" t="n"/>
      <c r="C16" s="15">
        <f>A16&amp;". "&amp;B16</f>
        <v/>
      </c>
    </row>
    <row r="17">
      <c r="A17" s="15" t="inlineStr">
        <is>
          <t>M5</t>
        </is>
      </c>
      <c r="B17" s="11" t="n"/>
      <c r="C17" s="15">
        <f>A17&amp;". "&amp;B17</f>
        <v/>
      </c>
    </row>
    <row r="18">
      <c r="A18" s="15" t="inlineStr">
        <is>
          <t>M6</t>
        </is>
      </c>
      <c r="B18" s="11" t="n"/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7030A0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3"/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7030A0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3"/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M3</t>
        </is>
      </c>
      <c r="C5" s="15" t="inlineStr">
        <is>
          <t>T — зміна даних</t>
        </is>
      </c>
      <c r="D5" s="15" t="inlineStr">
        <is>
          <t>Встановити IPsec VPN і міжмережевий екран між відділенням і шлюзом</t>
        </is>
      </c>
      <c r="E5" s="15" t="inlineStr">
        <is>
          <t>мережева</t>
        </is>
      </c>
      <c r="F5" s="15" t="n">
        <v>3</v>
      </c>
      <c r="G5" s="15" t="inlineStr">
        <is>
          <t>ЛР7. IPsec VPN між відділенням і головним офісом</t>
        </is>
      </c>
    </row>
    <row r="6">
      <c r="A6" s="15" t="n">
        <v>2</v>
      </c>
      <c r="B6" s="15" t="inlineStr">
        <is>
          <t>M5</t>
        </is>
      </c>
      <c r="C6" s="15" t="inlineStr">
        <is>
          <t>S — підміна</t>
        </is>
      </c>
      <c r="D6" s="15" t="inlineStr">
        <is>
          <t>Підроблений запит до АБС від зламаного шлюзу чи від ПК відділення</t>
        </is>
      </c>
      <c r="E6" s="15" t="inlineStr">
        <is>
          <t>мережева</t>
        </is>
      </c>
      <c r="F6" s="15" t="n">
        <v>3</v>
      </c>
      <c r="G6" s="15" t="inlineStr">
        <is>
          <t>ЛР5. Міжмережевий екран ASA: зони й NAT</t>
        </is>
      </c>
    </row>
    <row r="7">
      <c r="A7" s="15" t="n">
        <v>3</v>
      </c>
      <c r="B7" s="15" t="inlineStr">
        <is>
          <t>M4</t>
        </is>
      </c>
      <c r="C7" s="15" t="inlineStr">
        <is>
          <t>T — зміна даних</t>
        </is>
      </c>
      <c r="D7" s="15" t="inlineStr">
        <is>
          <t>Перехоплення платіжного трафіку в каналі: зловмисник читає передані дані</t>
        </is>
      </c>
      <c r="E7" s="15" t="inlineStr">
        <is>
          <t>мережева</t>
        </is>
      </c>
      <c r="F7" s="15" t="n">
        <v>3</v>
      </c>
      <c r="G7" s="15" t="inlineStr">
        <is>
          <t>ЛР7. IPsec VPN між відділенням і головним офісом</t>
        </is>
      </c>
    </row>
    <row r="8">
      <c r="A8" s="15" t="n">
        <v>4</v>
      </c>
      <c r="B8" s="15" t="inlineStr">
        <is>
          <t>M1</t>
        </is>
      </c>
      <c r="C8" s="15" t="inlineStr">
        <is>
          <t>T — зміна даних</t>
        </is>
      </c>
      <c r="D8" s="15" t="inlineStr">
        <is>
          <t>Скімер на POS-кіоска: копіює дані картки</t>
        </is>
      </c>
      <c r="E8" s="15" t="inlineStr">
        <is>
          <t>фізична</t>
        </is>
      </c>
      <c r="F8" s="15" t="n">
        <v>3</v>
      </c>
      <c r="G8" s="15" t="inlineStr">
        <is>
          <t>ЛР1. Сегментація VLAN і маршрутизація між ними</t>
        </is>
      </c>
    </row>
    <row r="9">
      <c r="A9" s="15" t="n">
        <v>5</v>
      </c>
      <c r="B9" s="15" t="inlineStr">
        <is>
          <t>M5</t>
        </is>
      </c>
      <c r="C9" s="15" t="inlineStr">
        <is>
          <t>R — відмова від дій</t>
        </is>
      </c>
      <c r="D9" s="15" t="inlineStr">
        <is>
          <t>Шлюз не зберігає журнал: після шахрайства неможливо відновити послідовність подій</t>
        </is>
      </c>
      <c r="E9" s="15" t="inlineStr">
        <is>
          <t>мережева</t>
        </is>
      </c>
      <c r="F9" s="15" t="n">
        <v>2</v>
      </c>
      <c r="G9" s="15" t="inlineStr">
        <is>
          <t>ЛР10. Syslog, NTP і моніторинг (лише виявляє)</t>
        </is>
      </c>
    </row>
    <row r="10">
      <c r="A10" s="15" t="n">
        <v>6</v>
      </c>
      <c r="B10" s="15" t="inlineStr">
        <is>
          <t>M1</t>
        </is>
      </c>
      <c r="C10" s="15" t="inlineStr">
        <is>
          <t>R — відмова від дій</t>
        </is>
      </c>
      <c r="D10" s="15" t="inlineStr">
        <is>
          <t>Клієнт заперечує операцію, а повного журналу з точним часом немає</t>
        </is>
      </c>
      <c r="E10" s="15" t="inlineStr">
        <is>
          <t>організаційна</t>
        </is>
      </c>
      <c r="F10" s="15" t="n">
        <v>2</v>
      </c>
      <c r="G10" s="15" t="inlineStr">
        <is>
          <t>ЛР10. Syslog, NTP і моніторинг (лише виявляє)</t>
        </is>
      </c>
    </row>
    <row r="11">
      <c r="A11" s="15" t="n">
        <v>7</v>
      </c>
      <c r="B11" s="15" t="inlineStr">
        <is>
          <t>M2</t>
        </is>
      </c>
      <c r="C11" s="15" t="inlineStr">
        <is>
          <t>T — зміна даних</t>
        </is>
      </c>
      <c r="D11" s="15" t="inlineStr">
        <is>
          <t>Підробний DHCP-сервер видає терміналу чужий шлюз і перехоплює платіжний трафік</t>
        </is>
      </c>
      <c r="E11" s="15" t="inlineStr">
        <is>
          <t>мережева</t>
        </is>
      </c>
      <c r="F11" s="15" t="n">
        <v>2</v>
      </c>
      <c r="G11" s="15" t="inlineStr">
        <is>
          <t>ЛР3. DHCP Snooping</t>
        </is>
      </c>
    </row>
    <row r="12"/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n"/>
      <c r="B15" s="11" t="n"/>
      <c r="C15" s="11" t="n"/>
      <c r="D15" s="19" t="n"/>
      <c r="E15" s="19" t="n"/>
      <c r="F15" s="19" t="n"/>
      <c r="G15" s="20" t="n"/>
    </row>
    <row r="16">
      <c r="A16" s="11" t="n"/>
      <c r="B16" s="11" t="n"/>
      <c r="C16" s="11" t="n"/>
      <c r="D16" s="19" t="n"/>
      <c r="E16" s="19" t="n"/>
      <c r="F16" s="19" t="n"/>
      <c r="G16" s="20" t="n"/>
    </row>
    <row r="17">
      <c r="A17" s="11" t="n"/>
      <c r="B17" s="11" t="n"/>
      <c r="C17" s="11" t="n"/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7030A0"/>
    <outlinePr summaryBelow="1" summaryRight="1"/>
    <pageSetUpPr/>
  </sheetPr>
  <dimension ref="A1:O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3"/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n"/>
      <c r="C5" s="11" t="n"/>
      <c r="D5" s="21" t="n"/>
      <c r="E5" s="11" t="n"/>
      <c r="F5" s="21" t="n"/>
      <c r="G5" s="21" t="n"/>
      <c r="H5" s="11" t="n"/>
      <c r="I5" s="21" t="n"/>
      <c r="J5" s="11" t="n"/>
      <c r="K5" s="11" t="n"/>
      <c r="L5" s="15">
        <f>IF(I5&lt;&gt;"Так","",IF(J5="","Оберіть захід",IF(K5="","Вкажіть, де в мережі",IF(D5="","Оберіть літеру STRIDE",IF(F5="","Вкажіть природу",IF(AND(INDEX('В05 Каталог'!$C$5:$C$19,MATCH(J5,'В05 Каталог'!$B$5:$B$19,0))="Лабораторна",F5="фізична",INDEX('В05 Каталог'!$A$5:$A$19,MATCH(J5,'В05 Каталог'!$B$5:$B$19,0))&lt;&gt;"L10"),"Мережевий захід не закриває фізичну загрозу",IF(AND(INDEX('В05 Каталог'!$C$5:$C$19,MATCH(J5,'В05 Каталог'!$B$5:$B$19,0))="Лабораторна",ISERROR(SEARCH(LEFT(D5,1),INDEX('В05 Каталог'!$D$5:$D$19,MATCH(J5,'В05 Каталог'!$B$5:$B$19,0))))),"Захід не діє на цей тип загрози",IF(AND(INDEX('В05 Каталог'!$C$5:$C$19,MATCH(J5,'В05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IF(J5="","",IFERROR(INDEX('В05 Каталог'!$E$5:$E$19,MATCH(J5,'В05 Каталог'!$B$5:$B$19,0)),""))</f>
        <v/>
      </c>
      <c r="N5" s="22">
        <f>IF(J5="","",IFERROR(INDEX('В05 Каталог'!$C$5:$C$19,MATCH(J5,'В05 Каталог'!$B$5:$B$19,0)),""))</f>
        <v/>
      </c>
      <c r="O5" s="21" t="n"/>
    </row>
    <row r="6">
      <c r="A6" s="15" t="n">
        <v>2</v>
      </c>
      <c r="B6" s="11" t="n"/>
      <c r="C6" s="11" t="n"/>
      <c r="D6" s="21" t="n"/>
      <c r="E6" s="11" t="n"/>
      <c r="F6" s="21" t="n"/>
      <c r="G6" s="21" t="n"/>
      <c r="H6" s="11" t="n"/>
      <c r="I6" s="21" t="n"/>
      <c r="J6" s="11" t="n"/>
      <c r="K6" s="11" t="n"/>
      <c r="L6" s="15">
        <f>IF(I6&lt;&gt;"Так","",IF(J6="","Оберіть захід",IF(K6="","Вкажіть, де в мережі",IF(D6="","Оберіть літеру STRIDE",IF(F6="","Вкажіть природу",IF(AND(INDEX('В05 Каталог'!$C$5:$C$19,MATCH(J6,'В05 Каталог'!$B$5:$B$19,0))="Лабораторна",F6="фізична",INDEX('В05 Каталог'!$A$5:$A$19,MATCH(J6,'В05 Каталог'!$B$5:$B$19,0))&lt;&gt;"L10"),"Мережевий захід не закриває фізичну загрозу",IF(AND(INDEX('В05 Каталог'!$C$5:$C$19,MATCH(J6,'В05 Каталог'!$B$5:$B$19,0))="Лабораторна",ISERROR(SEARCH(LEFT(D6,1),INDEX('В05 Каталог'!$D$5:$D$19,MATCH(J6,'В05 Каталог'!$B$5:$B$19,0))))),"Захід не діє на цей тип загрози",IF(AND(INDEX('В05 Каталог'!$C$5:$C$19,MATCH(J6,'В05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IF(J6="","",IFERROR(INDEX('В05 Каталог'!$E$5:$E$19,MATCH(J6,'В05 Каталог'!$B$5:$B$19,0)),""))</f>
        <v/>
      </c>
      <c r="N6" s="22">
        <f>IF(J6="","",IFERROR(INDEX('В05 Каталог'!$C$5:$C$19,MATCH(J6,'В05 Каталог'!$B$5:$B$19,0)),""))</f>
        <v/>
      </c>
      <c r="O6" s="21" t="n"/>
    </row>
    <row r="7">
      <c r="A7" s="15" t="n">
        <v>3</v>
      </c>
      <c r="B7" s="11" t="n"/>
      <c r="C7" s="11" t="n"/>
      <c r="D7" s="21" t="n"/>
      <c r="E7" s="11" t="n"/>
      <c r="F7" s="21" t="n"/>
      <c r="G7" s="21" t="n"/>
      <c r="H7" s="11" t="n"/>
      <c r="I7" s="21" t="n"/>
      <c r="J7" s="11" t="n"/>
      <c r="K7" s="11" t="n"/>
      <c r="L7" s="15">
        <f>IF(I7&lt;&gt;"Так","",IF(J7="","Оберіть захід",IF(K7="","Вкажіть, де в мережі",IF(D7="","Оберіть літеру STRIDE",IF(F7="","Вкажіть природу",IF(AND(INDEX('В05 Каталог'!$C$5:$C$19,MATCH(J7,'В05 Каталог'!$B$5:$B$19,0))="Лабораторна",F7="фізична",INDEX('В05 Каталог'!$A$5:$A$19,MATCH(J7,'В05 Каталог'!$B$5:$B$19,0))&lt;&gt;"L10"),"Мережевий захід не закриває фізичну загрозу",IF(AND(INDEX('В05 Каталог'!$C$5:$C$19,MATCH(J7,'В05 Каталог'!$B$5:$B$19,0))="Лабораторна",ISERROR(SEARCH(LEFT(D7,1),INDEX('В05 Каталог'!$D$5:$D$19,MATCH(J7,'В05 Каталог'!$B$5:$B$19,0))))),"Захід не діє на цей тип загрози",IF(AND(INDEX('В05 Каталог'!$C$5:$C$19,MATCH(J7,'В05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IF(J7="","",IFERROR(INDEX('В05 Каталог'!$E$5:$E$19,MATCH(J7,'В05 Каталог'!$B$5:$B$19,0)),""))</f>
        <v/>
      </c>
      <c r="N7" s="22">
        <f>IF(J7="","",IFERROR(INDEX('В05 Каталог'!$C$5:$C$19,MATCH(J7,'В05 Каталог'!$B$5:$B$19,0)),""))</f>
        <v/>
      </c>
      <c r="O7" s="21" t="n"/>
    </row>
    <row r="8">
      <c r="A8" s="15" t="n">
        <v>4</v>
      </c>
      <c r="B8" s="11" t="n"/>
      <c r="C8" s="11" t="n"/>
      <c r="D8" s="21" t="n"/>
      <c r="E8" s="11" t="n"/>
      <c r="F8" s="21" t="n"/>
      <c r="G8" s="21" t="n"/>
      <c r="H8" s="11" t="n"/>
      <c r="I8" s="21" t="n"/>
      <c r="J8" s="11" t="n"/>
      <c r="K8" s="11" t="n"/>
      <c r="L8" s="15">
        <f>IF(I8&lt;&gt;"Так","",IF(J8="","Оберіть захід",IF(K8="","Вкажіть, де в мережі",IF(D8="","Оберіть літеру STRIDE",IF(F8="","Вкажіть природу",IF(AND(INDEX('В05 Каталог'!$C$5:$C$19,MATCH(J8,'В05 Каталог'!$B$5:$B$19,0))="Лабораторна",F8="фізична",INDEX('В05 Каталог'!$A$5:$A$19,MATCH(J8,'В05 Каталог'!$B$5:$B$19,0))&lt;&gt;"L10"),"Мережевий захід не закриває фізичну загрозу",IF(AND(INDEX('В05 Каталог'!$C$5:$C$19,MATCH(J8,'В05 Каталог'!$B$5:$B$19,0))="Лабораторна",ISERROR(SEARCH(LEFT(D8,1),INDEX('В05 Каталог'!$D$5:$D$19,MATCH(J8,'В05 Каталог'!$B$5:$B$19,0))))),"Захід не діє на цей тип загрози",IF(AND(INDEX('В05 Каталог'!$C$5:$C$19,MATCH(J8,'В05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IF(J8="","",IFERROR(INDEX('В05 Каталог'!$E$5:$E$19,MATCH(J8,'В05 Каталог'!$B$5:$B$19,0)),""))</f>
        <v/>
      </c>
      <c r="N8" s="22">
        <f>IF(J8="","",IFERROR(INDEX('В05 Каталог'!$C$5:$C$19,MATCH(J8,'В05 Каталог'!$B$5:$B$19,0)),""))</f>
        <v/>
      </c>
      <c r="O8" s="21" t="n"/>
    </row>
    <row r="9">
      <c r="A9" s="15" t="n">
        <v>5</v>
      </c>
      <c r="B9" s="11" t="n"/>
      <c r="C9" s="11" t="n"/>
      <c r="D9" s="21" t="n"/>
      <c r="E9" s="11" t="n"/>
      <c r="F9" s="21" t="n"/>
      <c r="G9" s="21" t="n"/>
      <c r="H9" s="11" t="n"/>
      <c r="I9" s="21" t="n"/>
      <c r="J9" s="11" t="n"/>
      <c r="K9" s="11" t="n"/>
      <c r="L9" s="15">
        <f>IF(I9&lt;&gt;"Так","",IF(J9="","Оберіть захід",IF(K9="","Вкажіть, де в мережі",IF(D9="","Оберіть літеру STRIDE",IF(F9="","Вкажіть природу",IF(AND(INDEX('В05 Каталог'!$C$5:$C$19,MATCH(J9,'В05 Каталог'!$B$5:$B$19,0))="Лабораторна",F9="фізична",INDEX('В05 Каталог'!$A$5:$A$19,MATCH(J9,'В05 Каталог'!$B$5:$B$19,0))&lt;&gt;"L10"),"Мережевий захід не закриває фізичну загрозу",IF(AND(INDEX('В05 Каталог'!$C$5:$C$19,MATCH(J9,'В05 Каталог'!$B$5:$B$19,0))="Лабораторна",ISERROR(SEARCH(LEFT(D9,1),INDEX('В05 Каталог'!$D$5:$D$19,MATCH(J9,'В05 Каталог'!$B$5:$B$19,0))))),"Захід не діє на цей тип загрози",IF(AND(INDEX('В05 Каталог'!$C$5:$C$19,MATCH(J9,'В05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IF(J9="","",IFERROR(INDEX('В05 Каталог'!$E$5:$E$19,MATCH(J9,'В05 Каталог'!$B$5:$B$19,0)),""))</f>
        <v/>
      </c>
      <c r="N9" s="22">
        <f>IF(J9="","",IFERROR(INDEX('В05 Каталог'!$C$5:$C$19,MATCH(J9,'В05 Каталог'!$B$5:$B$19,0)),""))</f>
        <v/>
      </c>
      <c r="O9" s="21" t="n"/>
    </row>
    <row r="10">
      <c r="A10" s="15" t="n">
        <v>6</v>
      </c>
      <c r="B10" s="11" t="n"/>
      <c r="C10" s="11" t="n"/>
      <c r="D10" s="21" t="n"/>
      <c r="E10" s="11" t="n"/>
      <c r="F10" s="21" t="n"/>
      <c r="G10" s="21" t="n"/>
      <c r="H10" s="11" t="n"/>
      <c r="I10" s="21" t="n"/>
      <c r="J10" s="11" t="n"/>
      <c r="K10" s="11" t="n"/>
      <c r="L10" s="15">
        <f>IF(I10&lt;&gt;"Так","",IF(J10="","Оберіть захід",IF(K10="","Вкажіть, де в мережі",IF(D10="","Оберіть літеру STRIDE",IF(F10="","Вкажіть природу",IF(AND(INDEX('В05 Каталог'!$C$5:$C$19,MATCH(J10,'В05 Каталог'!$B$5:$B$19,0))="Лабораторна",F10="фізична",INDEX('В05 Каталог'!$A$5:$A$19,MATCH(J10,'В05 Каталог'!$B$5:$B$19,0))&lt;&gt;"L10"),"Мережевий захід не закриває фізичну загрозу",IF(AND(INDEX('В05 Каталог'!$C$5:$C$19,MATCH(J10,'В05 Каталог'!$B$5:$B$19,0))="Лабораторна",ISERROR(SEARCH(LEFT(D10,1),INDEX('В05 Каталог'!$D$5:$D$19,MATCH(J10,'В05 Каталог'!$B$5:$B$19,0))))),"Захід не діє на цей тип загрози",IF(AND(INDEX('В05 Каталог'!$C$5:$C$19,MATCH(J10,'В05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IF(J10="","",IFERROR(INDEX('В05 Каталог'!$E$5:$E$19,MATCH(J10,'В05 Каталог'!$B$5:$B$19,0)),""))</f>
        <v/>
      </c>
      <c r="N10" s="22">
        <f>IF(J10="","",IFERROR(INDEX('В05 Каталог'!$C$5:$C$19,MATCH(J10,'В05 Каталог'!$B$5:$B$19,0)),""))</f>
        <v/>
      </c>
      <c r="O10" s="21" t="n"/>
    </row>
    <row r="11">
      <c r="A11" s="15" t="n">
        <v>7</v>
      </c>
      <c r="B11" s="11" t="n"/>
      <c r="C11" s="11" t="n"/>
      <c r="D11" s="21" t="n"/>
      <c r="E11" s="11" t="n"/>
      <c r="F11" s="21" t="n"/>
      <c r="G11" s="21" t="n"/>
      <c r="H11" s="11" t="n"/>
      <c r="I11" s="21" t="n"/>
      <c r="J11" s="11" t="n"/>
      <c r="K11" s="11" t="n"/>
      <c r="L11" s="15">
        <f>IF(I11&lt;&gt;"Так","",IF(J11="","Оберіть захід",IF(K11="","Вкажіть, де в мережі",IF(D11="","Оберіть літеру STRIDE",IF(F11="","Вкажіть природу",IF(AND(INDEX('В05 Каталог'!$C$5:$C$19,MATCH(J11,'В05 Каталог'!$B$5:$B$19,0))="Лабораторна",F11="фізична",INDEX('В05 Каталог'!$A$5:$A$19,MATCH(J11,'В05 Каталог'!$B$5:$B$19,0))&lt;&gt;"L10"),"Мережевий захід не закриває фізичну загрозу",IF(AND(INDEX('В05 Каталог'!$C$5:$C$19,MATCH(J11,'В05 Каталог'!$B$5:$B$19,0))="Лабораторна",ISERROR(SEARCH(LEFT(D11,1),INDEX('В05 Каталог'!$D$5:$D$19,MATCH(J11,'В05 Каталог'!$B$5:$B$19,0))))),"Захід не діє на цей тип загрози",IF(AND(INDEX('В05 Каталог'!$C$5:$C$19,MATCH(J11,'В05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IF(J11="","",IFERROR(INDEX('В05 Каталог'!$E$5:$E$19,MATCH(J11,'В05 Каталог'!$B$5:$B$19,0)),""))</f>
        <v/>
      </c>
      <c r="N11" s="22">
        <f>IF(J11="","",IFERROR(INDEX('В05 Каталог'!$C$5:$C$19,MATCH(J11,'В05 Каталог'!$B$5:$B$19,0)),""))</f>
        <v/>
      </c>
      <c r="O11" s="21" t="n"/>
    </row>
    <row r="12">
      <c r="A12" s="15" t="n">
        <v>8</v>
      </c>
      <c r="B12" s="11" t="n"/>
      <c r="C12" s="11" t="n"/>
      <c r="D12" s="21" t="n"/>
      <c r="E12" s="11" t="n"/>
      <c r="F12" s="21" t="n"/>
      <c r="G12" s="21" t="n"/>
      <c r="H12" s="11" t="n"/>
      <c r="I12" s="21" t="n"/>
      <c r="J12" s="11" t="n"/>
      <c r="K12" s="11" t="n"/>
      <c r="L12" s="15">
        <f>IF(I12&lt;&gt;"Так","",IF(J12="","Оберіть захід",IF(K12="","Вкажіть, де в мережі",IF(D12="","Оберіть літеру STRIDE",IF(F12="","Вкажіть природу",IF(AND(INDEX('В05 Каталог'!$C$5:$C$19,MATCH(J12,'В05 Каталог'!$B$5:$B$19,0))="Лабораторна",F12="фізична",INDEX('В05 Каталог'!$A$5:$A$19,MATCH(J12,'В05 Каталог'!$B$5:$B$19,0))&lt;&gt;"L10"),"Мережевий захід не закриває фізичну загрозу",IF(AND(INDEX('В05 Каталог'!$C$5:$C$19,MATCH(J12,'В05 Каталог'!$B$5:$B$19,0))="Лабораторна",ISERROR(SEARCH(LEFT(D12,1),INDEX('В05 Каталог'!$D$5:$D$19,MATCH(J12,'В05 Каталог'!$B$5:$B$19,0))))),"Захід не діє на цей тип загрози",IF(AND(INDEX('В05 Каталог'!$C$5:$C$19,MATCH(J12,'В05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IF(J12="","",IFERROR(INDEX('В05 Каталог'!$E$5:$E$19,MATCH(J12,'В05 Каталог'!$B$5:$B$19,0)),""))</f>
        <v/>
      </c>
      <c r="N12" s="22">
        <f>IF(J12="","",IFERROR(INDEX('В05 Каталог'!$C$5:$C$19,MATCH(J12,'В05 Каталог'!$B$5:$B$19,0)),""))</f>
        <v/>
      </c>
      <c r="O12" s="21" t="n"/>
    </row>
    <row r="13">
      <c r="A13" s="15" t="n">
        <v>9</v>
      </c>
      <c r="B13" s="11" t="n"/>
      <c r="C13" s="11" t="n"/>
      <c r="D13" s="21" t="n"/>
      <c r="E13" s="11" t="n"/>
      <c r="F13" s="21" t="n"/>
      <c r="G13" s="21" t="n"/>
      <c r="H13" s="11" t="n"/>
      <c r="I13" s="21" t="n"/>
      <c r="J13" s="11" t="n"/>
      <c r="K13" s="11" t="n"/>
      <c r="L13" s="15">
        <f>IF(I13&lt;&gt;"Так","",IF(J13="","Оберіть захід",IF(K13="","Вкажіть, де в мережі",IF(D13="","Оберіть літеру STRIDE",IF(F13="","Вкажіть природу",IF(AND(INDEX('В05 Каталог'!$C$5:$C$19,MATCH(J13,'В05 Каталог'!$B$5:$B$19,0))="Лабораторна",F13="фізична",INDEX('В05 Каталог'!$A$5:$A$19,MATCH(J13,'В05 Каталог'!$B$5:$B$19,0))&lt;&gt;"L10"),"Мережевий захід не закриває фізичну загрозу",IF(AND(INDEX('В05 Каталог'!$C$5:$C$19,MATCH(J13,'В05 Каталог'!$B$5:$B$19,0))="Лабораторна",ISERROR(SEARCH(LEFT(D13,1),INDEX('В05 Каталог'!$D$5:$D$19,MATCH(J13,'В05 Каталог'!$B$5:$B$19,0))))),"Захід не діє на цей тип загрози",IF(AND(INDEX('В05 Каталог'!$C$5:$C$19,MATCH(J13,'В05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IF(J13="","",IFERROR(INDEX('В05 Каталог'!$E$5:$E$19,MATCH(J13,'В05 Каталог'!$B$5:$B$19,0)),""))</f>
        <v/>
      </c>
      <c r="N13" s="22">
        <f>IF(J13="","",IFERROR(INDEX('В05 Каталог'!$C$5:$C$19,MATCH(J13,'В05 Каталог'!$B$5:$B$19,0)),""))</f>
        <v/>
      </c>
      <c r="O13" s="21" t="n"/>
    </row>
    <row r="14">
      <c r="A14" s="15" t="n">
        <v>10</v>
      </c>
      <c r="B14" s="11" t="n"/>
      <c r="C14" s="11" t="n"/>
      <c r="D14" s="21" t="n"/>
      <c r="E14" s="11" t="n"/>
      <c r="F14" s="21" t="n"/>
      <c r="G14" s="21" t="n"/>
      <c r="H14" s="11" t="n"/>
      <c r="I14" s="21" t="n"/>
      <c r="J14" s="11" t="n"/>
      <c r="K14" s="11" t="n"/>
      <c r="L14" s="15">
        <f>IF(I14&lt;&gt;"Так","",IF(J14="","Оберіть захід",IF(K14="","Вкажіть, де в мережі",IF(D14="","Оберіть літеру STRIDE",IF(F14="","Вкажіть природу",IF(AND(INDEX('В05 Каталог'!$C$5:$C$19,MATCH(J14,'В05 Каталог'!$B$5:$B$19,0))="Лабораторна",F14="фізична",INDEX('В05 Каталог'!$A$5:$A$19,MATCH(J14,'В05 Каталог'!$B$5:$B$19,0))&lt;&gt;"L10"),"Мережевий захід не закриває фізичну загрозу",IF(AND(INDEX('В05 Каталог'!$C$5:$C$19,MATCH(J14,'В05 Каталог'!$B$5:$B$19,0))="Лабораторна",ISERROR(SEARCH(LEFT(D14,1),INDEX('В05 Каталог'!$D$5:$D$19,MATCH(J14,'В05 Каталог'!$B$5:$B$19,0))))),"Захід не діє на цей тип загрози",IF(AND(INDEX('В05 Каталог'!$C$5:$C$19,MATCH(J14,'В05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IF(J14="","",IFERROR(INDEX('В05 Каталог'!$E$5:$E$19,MATCH(J14,'В05 Каталог'!$B$5:$B$19,0)),""))</f>
        <v/>
      </c>
      <c r="N14" s="22">
        <f>IF(J14="","",IFERROR(INDEX('В05 Каталог'!$C$5:$C$19,MATCH(J14,'В05 Каталог'!$B$5:$B$19,0)),""))</f>
        <v/>
      </c>
      <c r="O14" s="21" t="n"/>
    </row>
    <row r="15">
      <c r="A15" s="15" t="n">
        <v>11</v>
      </c>
      <c r="B15" s="11" t="n"/>
      <c r="C15" s="11" t="n"/>
      <c r="D15" s="21" t="n"/>
      <c r="E15" s="11" t="n"/>
      <c r="F15" s="21" t="n"/>
      <c r="G15" s="21" t="n"/>
      <c r="H15" s="11" t="n"/>
      <c r="I15" s="21" t="n"/>
      <c r="J15" s="11" t="n"/>
      <c r="K15" s="11" t="n"/>
      <c r="L15" s="15">
        <f>IF(I15&lt;&gt;"Так","",IF(J15="","Оберіть захід",IF(K15="","Вкажіть, де в мережі",IF(D15="","Оберіть літеру STRIDE",IF(F15="","Вкажіть природу",IF(AND(INDEX('В05 Каталог'!$C$5:$C$19,MATCH(J15,'В05 Каталог'!$B$5:$B$19,0))="Лабораторна",F15="фізична",INDEX('В05 Каталог'!$A$5:$A$19,MATCH(J15,'В05 Каталог'!$B$5:$B$19,0))&lt;&gt;"L10"),"Мережевий захід не закриває фізичну загрозу",IF(AND(INDEX('В05 Каталог'!$C$5:$C$19,MATCH(J15,'В05 Каталог'!$B$5:$B$19,0))="Лабораторна",ISERROR(SEARCH(LEFT(D15,1),INDEX('В05 Каталог'!$D$5:$D$19,MATCH(J15,'В05 Каталог'!$B$5:$B$19,0))))),"Захід не діє на цей тип загрози",IF(AND(INDEX('В05 Каталог'!$C$5:$C$19,MATCH(J15,'В05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IF(J15="","",IFERROR(INDEX('В05 Каталог'!$E$5:$E$19,MATCH(J15,'В05 Каталог'!$B$5:$B$19,0)),""))</f>
        <v/>
      </c>
      <c r="N15" s="22">
        <f>IF(J15="","",IFERROR(INDEX('В05 Каталог'!$C$5:$C$19,MATCH(J15,'В05 Каталог'!$B$5:$B$19,0)),""))</f>
        <v/>
      </c>
      <c r="O15" s="21" t="n"/>
    </row>
    <row r="16">
      <c r="A16" s="15" t="n">
        <v>12</v>
      </c>
      <c r="B16" s="11" t="n"/>
      <c r="C16" s="11" t="n"/>
      <c r="D16" s="21" t="n"/>
      <c r="E16" s="11" t="n"/>
      <c r="F16" s="21" t="n"/>
      <c r="G16" s="21" t="n"/>
      <c r="H16" s="11" t="n"/>
      <c r="I16" s="21" t="n"/>
      <c r="J16" s="11" t="n"/>
      <c r="K16" s="11" t="n"/>
      <c r="L16" s="15">
        <f>IF(I16&lt;&gt;"Так","",IF(J16="","Оберіть захід",IF(K16="","Вкажіть, де в мережі",IF(D16="","Оберіть літеру STRIDE",IF(F16="","Вкажіть природу",IF(AND(INDEX('В05 Каталог'!$C$5:$C$19,MATCH(J16,'В05 Каталог'!$B$5:$B$19,0))="Лабораторна",F16="фізична",INDEX('В05 Каталог'!$A$5:$A$19,MATCH(J16,'В05 Каталог'!$B$5:$B$19,0))&lt;&gt;"L10"),"Мережевий захід не закриває фізичну загрозу",IF(AND(INDEX('В05 Каталог'!$C$5:$C$19,MATCH(J16,'В05 Каталог'!$B$5:$B$19,0))="Лабораторна",ISERROR(SEARCH(LEFT(D16,1),INDEX('В05 Каталог'!$D$5:$D$19,MATCH(J16,'В05 Каталог'!$B$5:$B$19,0))))),"Захід не діє на цей тип загрози",IF(AND(INDEX('В05 Каталог'!$C$5:$C$19,MATCH(J16,'В05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IF(J16="","",IFERROR(INDEX('В05 Каталог'!$E$5:$E$19,MATCH(J16,'В05 Каталог'!$B$5:$B$19,0)),""))</f>
        <v/>
      </c>
      <c r="N16" s="22">
        <f>IF(J16="","",IFERROR(INDEX('В05 Каталог'!$C$5:$C$19,MATCH(J16,'В05 Каталог'!$B$5:$B$19,0)),""))</f>
        <v/>
      </c>
      <c r="O16" s="21" t="n"/>
    </row>
    <row r="17">
      <c r="A17" s="15" t="n">
        <v>13</v>
      </c>
      <c r="B17" s="11" t="n"/>
      <c r="C17" s="11" t="n"/>
      <c r="D17" s="21" t="n"/>
      <c r="E17" s="11" t="n"/>
      <c r="F17" s="21" t="n"/>
      <c r="G17" s="21" t="n"/>
      <c r="H17" s="11" t="n"/>
      <c r="I17" s="21" t="n"/>
      <c r="J17" s="11" t="n"/>
      <c r="K17" s="11" t="n"/>
      <c r="L17" s="15">
        <f>IF(I17&lt;&gt;"Так","",IF(J17="","Оберіть захід",IF(K17="","Вкажіть, де в мережі",IF(D17="","Оберіть літеру STRIDE",IF(F17="","Вкажіть природу",IF(AND(INDEX('В05 Каталог'!$C$5:$C$19,MATCH(J17,'В05 Каталог'!$B$5:$B$19,0))="Лабораторна",F17="фізична",INDEX('В05 Каталог'!$A$5:$A$19,MATCH(J17,'В05 Каталог'!$B$5:$B$19,0))&lt;&gt;"L10"),"Мережевий захід не закриває фізичну загрозу",IF(AND(INDEX('В05 Каталог'!$C$5:$C$19,MATCH(J17,'В05 Каталог'!$B$5:$B$19,0))="Лабораторна",ISERROR(SEARCH(LEFT(D17,1),INDEX('В05 Каталог'!$D$5:$D$19,MATCH(J17,'В05 Каталог'!$B$5:$B$19,0))))),"Захід не діє на цей тип загрози",IF(AND(INDEX('В05 Каталог'!$C$5:$C$19,MATCH(J17,'В05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IF(J17="","",IFERROR(INDEX('В05 Каталог'!$E$5:$E$19,MATCH(J17,'В05 Каталог'!$B$5:$B$19,0)),""))</f>
        <v/>
      </c>
      <c r="N17" s="22">
        <f>IF(J17="","",IFERROR(INDEX('В05 Каталог'!$C$5:$C$19,MATCH(J17,'В05 Каталог'!$B$5:$B$19,0)),""))</f>
        <v/>
      </c>
      <c r="O17" s="21" t="n"/>
    </row>
    <row r="18">
      <c r="A18" s="15" t="n">
        <v>14</v>
      </c>
      <c r="B18" s="11" t="n"/>
      <c r="C18" s="11" t="n"/>
      <c r="D18" s="21" t="n"/>
      <c r="E18" s="11" t="n"/>
      <c r="F18" s="21" t="n"/>
      <c r="G18" s="21" t="n"/>
      <c r="H18" s="11" t="n"/>
      <c r="I18" s="21" t="n"/>
      <c r="J18" s="11" t="n"/>
      <c r="K18" s="11" t="n"/>
      <c r="L18" s="15">
        <f>IF(I18&lt;&gt;"Так","",IF(J18="","Оберіть захід",IF(K18="","Вкажіть, де в мережі",IF(D18="","Оберіть літеру STRIDE",IF(F18="","Вкажіть природу",IF(AND(INDEX('В05 Каталог'!$C$5:$C$19,MATCH(J18,'В05 Каталог'!$B$5:$B$19,0))="Лабораторна",F18="фізична",INDEX('В05 Каталог'!$A$5:$A$19,MATCH(J18,'В05 Каталог'!$B$5:$B$19,0))&lt;&gt;"L10"),"Мережевий захід не закриває фізичну загрозу",IF(AND(INDEX('В05 Каталог'!$C$5:$C$19,MATCH(J18,'В05 Каталог'!$B$5:$B$19,0))="Лабораторна",ISERROR(SEARCH(LEFT(D18,1),INDEX('В05 Каталог'!$D$5:$D$19,MATCH(J18,'В05 Каталог'!$B$5:$B$19,0))))),"Захід не діє на цей тип загрози",IF(AND(INDEX('В05 Каталог'!$C$5:$C$19,MATCH(J18,'В05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IF(J18="","",IFERROR(INDEX('В05 Каталог'!$E$5:$E$19,MATCH(J18,'В05 Каталог'!$B$5:$B$19,0)),""))</f>
        <v/>
      </c>
      <c r="N18" s="22">
        <f>IF(J18="","",IFERROR(INDEX('В05 Каталог'!$C$5:$C$19,MATCH(J18,'В05 Каталог'!$B$5:$B$19,0)),""))</f>
        <v/>
      </c>
      <c r="O18" s="21" t="n"/>
    </row>
    <row r="19">
      <c r="A19" s="15" t="n">
        <v>15</v>
      </c>
      <c r="B19" s="11" t="n"/>
      <c r="C19" s="11" t="n"/>
      <c r="D19" s="21" t="n"/>
      <c r="E19" s="11" t="n"/>
      <c r="F19" s="21" t="n"/>
      <c r="G19" s="21" t="n"/>
      <c r="H19" s="11" t="n"/>
      <c r="I19" s="21" t="n"/>
      <c r="J19" s="11" t="n"/>
      <c r="K19" s="11" t="n"/>
      <c r="L19" s="15">
        <f>IF(I19&lt;&gt;"Так","",IF(J19="","Оберіть захід",IF(K19="","Вкажіть, де в мережі",IF(D19="","Оберіть літеру STRIDE",IF(F19="","Вкажіть природу",IF(AND(INDEX('В05 Каталог'!$C$5:$C$19,MATCH(J19,'В05 Каталог'!$B$5:$B$19,0))="Лабораторна",F19="фізична",INDEX('В05 Каталог'!$A$5:$A$19,MATCH(J19,'В05 Каталог'!$B$5:$B$19,0))&lt;&gt;"L10"),"Мережевий захід не закриває фізичну загрозу",IF(AND(INDEX('В05 Каталог'!$C$5:$C$19,MATCH(J19,'В05 Каталог'!$B$5:$B$19,0))="Лабораторна",ISERROR(SEARCH(LEFT(D19,1),INDEX('В05 Каталог'!$D$5:$D$19,MATCH(J19,'В05 Каталог'!$B$5:$B$19,0))))),"Захід не діє на цей тип загрози",IF(AND(INDEX('В05 Каталог'!$C$5:$C$19,MATCH(J19,'В05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IF(J19="","",IFERROR(INDEX('В05 Каталог'!$E$5:$E$19,MATCH(J19,'В05 Каталог'!$B$5:$B$19,0)),""))</f>
        <v/>
      </c>
      <c r="N19" s="22">
        <f>IF(J19="","",IFERROR(INDEX('В05 Каталог'!$C$5:$C$19,MATCH(J19,'В05 Каталог'!$B$5:$B$19,0)),""))</f>
        <v/>
      </c>
      <c r="O19" s="21" t="n"/>
    </row>
    <row r="20">
      <c r="A20" s="15" t="n">
        <v>16</v>
      </c>
      <c r="B20" s="11" t="n"/>
      <c r="C20" s="11" t="n"/>
      <c r="D20" s="21" t="n"/>
      <c r="E20" s="11" t="n"/>
      <c r="F20" s="21" t="n"/>
      <c r="G20" s="21" t="n"/>
      <c r="H20" s="11" t="n"/>
      <c r="I20" s="21" t="n"/>
      <c r="J20" s="11" t="n"/>
      <c r="K20" s="11" t="n"/>
      <c r="L20" s="15">
        <f>IF(I20&lt;&gt;"Так","",IF(J20="","Оберіть захід",IF(K20="","Вкажіть, де в мережі",IF(D20="","Оберіть літеру STRIDE",IF(F20="","Вкажіть природу",IF(AND(INDEX('В05 Каталог'!$C$5:$C$19,MATCH(J20,'В05 Каталог'!$B$5:$B$19,0))="Лабораторна",F20="фізична",INDEX('В05 Каталог'!$A$5:$A$19,MATCH(J20,'В05 Каталог'!$B$5:$B$19,0))&lt;&gt;"L10"),"Мережевий захід не закриває фізичну загрозу",IF(AND(INDEX('В05 Каталог'!$C$5:$C$19,MATCH(J20,'В05 Каталог'!$B$5:$B$19,0))="Лабораторна",ISERROR(SEARCH(LEFT(D20,1),INDEX('В05 Каталог'!$D$5:$D$19,MATCH(J20,'В05 Каталог'!$B$5:$B$19,0))))),"Захід не діє на цей тип загрози",IF(AND(INDEX('В05 Каталог'!$C$5:$C$19,MATCH(J20,'В05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IF(J20="","",IFERROR(INDEX('В05 Каталог'!$E$5:$E$19,MATCH(J20,'В05 Каталог'!$B$5:$B$19,0)),""))</f>
        <v/>
      </c>
      <c r="N20" s="22">
        <f>IF(J20="","",IFERROR(INDEX('В05 Каталог'!$C$5:$C$19,MATCH(J20,'В05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природу",IF(AND(INDEX('В05 Каталог'!$C$5:$C$19,MATCH(J21,'В05 Каталог'!$B$5:$B$19,0))="Лабораторна",F21="фізична",INDEX('В05 Каталог'!$A$5:$A$19,MATCH(J21,'В05 Каталог'!$B$5:$B$19,0))&lt;&gt;"L10"),"Мережевий захід не закриває фізичну загрозу",IF(AND(INDEX('В05 Каталог'!$C$5:$C$19,MATCH(J21,'В05 Каталог'!$B$5:$B$19,0))="Лабораторна",ISERROR(SEARCH(LEFT(D21,1),INDEX('В05 Каталог'!$D$5:$D$19,MATCH(J21,'В05 Каталог'!$B$5:$B$19,0))))),"Захід не діє на цей тип загрози",IF(AND(INDEX('В05 Каталог'!$C$5:$C$19,MATCH(J21,'В05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IF(J21="","",IFERROR(INDEX('В05 Каталог'!$E$5:$E$19,MATCH(J21,'В05 Каталог'!$B$5:$B$19,0)),""))</f>
        <v/>
      </c>
      <c r="N21" s="22">
        <f>IF(J21="","",IFERROR(INDEX('В05 Каталог'!$C$5:$C$19,MATCH(J21,'В05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природу",IF(AND(INDEX('В05 Каталог'!$C$5:$C$19,MATCH(J22,'В05 Каталог'!$B$5:$B$19,0))="Лабораторна",F22="фізична",INDEX('В05 Каталог'!$A$5:$A$19,MATCH(J22,'В05 Каталог'!$B$5:$B$19,0))&lt;&gt;"L10"),"Мережевий захід не закриває фізичну загрозу",IF(AND(INDEX('В05 Каталог'!$C$5:$C$19,MATCH(J22,'В05 Каталог'!$B$5:$B$19,0))="Лабораторна",ISERROR(SEARCH(LEFT(D22,1),INDEX('В05 Каталог'!$D$5:$D$19,MATCH(J22,'В05 Каталог'!$B$5:$B$19,0))))),"Захід не діє на цей тип загрози",IF(AND(INDEX('В05 Каталог'!$C$5:$C$19,MATCH(J22,'В05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IF(J22="","",IFERROR(INDEX('В05 Каталог'!$E$5:$E$19,MATCH(J22,'В05 Каталог'!$B$5:$B$19,0)),""))</f>
        <v/>
      </c>
      <c r="N22" s="22">
        <f>IF(J22="","",IFERROR(INDEX('В05 Каталог'!$C$5:$C$19,MATCH(J22,'В05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природу",IF(AND(INDEX('В05 Каталог'!$C$5:$C$19,MATCH(J23,'В05 Каталог'!$B$5:$B$19,0))="Лабораторна",F23="фізична",INDEX('В05 Каталог'!$A$5:$A$19,MATCH(J23,'В05 Каталог'!$B$5:$B$19,0))&lt;&gt;"L10"),"Мережевий захід не закриває фізичну загрозу",IF(AND(INDEX('В05 Каталог'!$C$5:$C$19,MATCH(J23,'В05 Каталог'!$B$5:$B$19,0))="Лабораторна",ISERROR(SEARCH(LEFT(D23,1),INDEX('В05 Каталог'!$D$5:$D$19,MATCH(J23,'В05 Каталог'!$B$5:$B$19,0))))),"Захід не діє на цей тип загрози",IF(AND(INDEX('В05 Каталог'!$C$5:$C$19,MATCH(J23,'В05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IF(J23="","",IFERROR(INDEX('В05 Каталог'!$E$5:$E$19,MATCH(J23,'В05 Каталог'!$B$5:$B$19,0)),""))</f>
        <v/>
      </c>
      <c r="N23" s="22">
        <f>IF(J23="","",IFERROR(INDEX('В05 Каталог'!$C$5:$C$19,MATCH(J23,'В05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природу",IF(AND(INDEX('В05 Каталог'!$C$5:$C$19,MATCH(J24,'В05 Каталог'!$B$5:$B$19,0))="Лабораторна",F24="фізична",INDEX('В05 Каталог'!$A$5:$A$19,MATCH(J24,'В05 Каталог'!$B$5:$B$19,0))&lt;&gt;"L10"),"Мережевий захід не закриває фізичну загрозу",IF(AND(INDEX('В05 Каталог'!$C$5:$C$19,MATCH(J24,'В05 Каталог'!$B$5:$B$19,0))="Лабораторна",ISERROR(SEARCH(LEFT(D24,1),INDEX('В05 Каталог'!$D$5:$D$19,MATCH(J24,'В05 Каталог'!$B$5:$B$19,0))))),"Захід не діє на цей тип загрози",IF(AND(INDEX('В05 Каталог'!$C$5:$C$19,MATCH(J24,'В05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IF(J24="","",IFERROR(INDEX('В05 Каталог'!$E$5:$E$19,MATCH(J24,'В05 Каталог'!$B$5:$B$19,0)),""))</f>
        <v/>
      </c>
      <c r="N24" s="22">
        <f>IF(J24="","",IFERROR(INDEX('В05 Каталог'!$C$5:$C$19,MATCH(J24,'В05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природу",IF(AND(INDEX('В05 Каталог'!$C$5:$C$19,MATCH(J25,'В05 Каталог'!$B$5:$B$19,0))="Лабораторна",F25="фізична",INDEX('В05 Каталог'!$A$5:$A$19,MATCH(J25,'В05 Каталог'!$B$5:$B$19,0))&lt;&gt;"L10"),"Мережевий захід не закриває фізичну загрозу",IF(AND(INDEX('В05 Каталог'!$C$5:$C$19,MATCH(J25,'В05 Каталог'!$B$5:$B$19,0))="Лабораторна",ISERROR(SEARCH(LEFT(D25,1),INDEX('В05 Каталог'!$D$5:$D$19,MATCH(J25,'В05 Каталог'!$B$5:$B$19,0))))),"Захід не діє на цей тип загрози",IF(AND(INDEX('В05 Каталог'!$C$5:$C$19,MATCH(J25,'В05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IF(J25="","",IFERROR(INDEX('В05 Каталог'!$E$5:$E$19,MATCH(J25,'В05 Каталог'!$B$5:$B$19,0)),""))</f>
        <v/>
      </c>
      <c r="N25" s="22">
        <f>IF(J25="","",IFERROR(INDEX('В05 Каталог'!$C$5:$C$19,MATCH(J25,'В05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природу",IF(AND(INDEX('В05 Каталог'!$C$5:$C$19,MATCH(J26,'В05 Каталог'!$B$5:$B$19,0))="Лабораторна",F26="фізична",INDEX('В05 Каталог'!$A$5:$A$19,MATCH(J26,'В05 Каталог'!$B$5:$B$19,0))&lt;&gt;"L10"),"Мережевий захід не закриває фізичну загрозу",IF(AND(INDEX('В05 Каталог'!$C$5:$C$19,MATCH(J26,'В05 Каталог'!$B$5:$B$19,0))="Лабораторна",ISERROR(SEARCH(LEFT(D26,1),INDEX('В05 Каталог'!$D$5:$D$19,MATCH(J26,'В05 Каталог'!$B$5:$B$19,0))))),"Захід не діє на цей тип загрози",IF(AND(INDEX('В05 Каталог'!$C$5:$C$19,MATCH(J26,'В05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IF(J26="","",IFERROR(INDEX('В05 Каталог'!$E$5:$E$19,MATCH(J26,'В05 Каталог'!$B$5:$B$19,0)),""))</f>
        <v/>
      </c>
      <c r="N26" s="22">
        <f>IF(J26="","",IFERROR(INDEX('В05 Каталог'!$C$5:$C$19,MATCH(J26,'В05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природу",IF(AND(INDEX('В05 Каталог'!$C$5:$C$19,MATCH(J27,'В05 Каталог'!$B$5:$B$19,0))="Лабораторна",F27="фізична",INDEX('В05 Каталог'!$A$5:$A$19,MATCH(J27,'В05 Каталог'!$B$5:$B$19,0))&lt;&gt;"L10"),"Мережевий захід не закриває фізичну загрозу",IF(AND(INDEX('В05 Каталог'!$C$5:$C$19,MATCH(J27,'В05 Каталог'!$B$5:$B$19,0))="Лабораторна",ISERROR(SEARCH(LEFT(D27,1),INDEX('В05 Каталог'!$D$5:$D$19,MATCH(J27,'В05 Каталог'!$B$5:$B$19,0))))),"Захід не діє на цей тип загрози",IF(AND(INDEX('В05 Каталог'!$C$5:$C$19,MATCH(J27,'В05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IF(J27="","",IFERROR(INDEX('В05 Каталог'!$E$5:$E$19,MATCH(J27,'В05 Каталог'!$B$5:$B$19,0)),""))</f>
        <v/>
      </c>
      <c r="N27" s="22">
        <f>IF(J27="","",IFERROR(INDEX('В05 Каталог'!$C$5:$C$19,MATCH(J27,'В05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природу",IF(AND(INDEX('В05 Каталог'!$C$5:$C$19,MATCH(J28,'В05 Каталог'!$B$5:$B$19,0))="Лабораторна",F28="фізична",INDEX('В05 Каталог'!$A$5:$A$19,MATCH(J28,'В05 Каталог'!$B$5:$B$19,0))&lt;&gt;"L10"),"Мережевий захід не закриває фізичну загрозу",IF(AND(INDEX('В05 Каталог'!$C$5:$C$19,MATCH(J28,'В05 Каталог'!$B$5:$B$19,0))="Лабораторна",ISERROR(SEARCH(LEFT(D28,1),INDEX('В05 Каталог'!$D$5:$D$19,MATCH(J28,'В05 Каталог'!$B$5:$B$19,0))))),"Захід не діє на цей тип загрози",IF(AND(INDEX('В05 Каталог'!$C$5:$C$19,MATCH(J28,'В05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IF(J28="","",IFERROR(INDEX('В05 Каталог'!$E$5:$E$19,MATCH(J28,'В05 Каталог'!$B$5:$B$19,0)),""))</f>
        <v/>
      </c>
      <c r="N28" s="22">
        <f>IF(J28="","",IFERROR(INDEX('В05 Каталог'!$C$5:$C$19,MATCH(J28,'В05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природу",IF(AND(INDEX('В05 Каталог'!$C$5:$C$19,MATCH(J29,'В05 Каталог'!$B$5:$B$19,0))="Лабораторна",F29="фізична",INDEX('В05 Каталог'!$A$5:$A$19,MATCH(J29,'В05 Каталог'!$B$5:$B$19,0))&lt;&gt;"L10"),"Мережевий захід не закриває фізичну загрозу",IF(AND(INDEX('В05 Каталог'!$C$5:$C$19,MATCH(J29,'В05 Каталог'!$B$5:$B$19,0))="Лабораторна",ISERROR(SEARCH(LEFT(D29,1),INDEX('В05 Каталог'!$D$5:$D$19,MATCH(J29,'В05 Каталог'!$B$5:$B$19,0))))),"Захід не діє на цей тип загрози",IF(AND(INDEX('В05 Каталог'!$C$5:$C$19,MATCH(J29,'В05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IF(J29="","",IFERROR(INDEX('В05 Каталог'!$E$5:$E$19,MATCH(J29,'В05 Каталог'!$B$5:$B$19,0)),""))</f>
        <v/>
      </c>
      <c r="N29" s="22">
        <f>IF(J29="","",IFERROR(INDEX('В05 Каталог'!$C$5:$C$19,MATCH(J29,'В05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природу",IF(AND(INDEX('В05 Каталог'!$C$5:$C$19,MATCH(J30,'В05 Каталог'!$B$5:$B$19,0))="Лабораторна",F30="фізична",INDEX('В05 Каталог'!$A$5:$A$19,MATCH(J30,'В05 Каталог'!$B$5:$B$19,0))&lt;&gt;"L10"),"Мережевий захід не закриває фізичну загрозу",IF(AND(INDEX('В05 Каталог'!$C$5:$C$19,MATCH(J30,'В05 Каталог'!$B$5:$B$19,0))="Лабораторна",ISERROR(SEARCH(LEFT(D30,1),INDEX('В05 Каталог'!$D$5:$D$19,MATCH(J30,'В05 Каталог'!$B$5:$B$19,0))))),"Захід не діє на цей тип загрози",IF(AND(INDEX('В05 Каталог'!$C$5:$C$19,MATCH(J30,'В05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IF(J30="","",IFERROR(INDEX('В05 Каталог'!$E$5:$E$19,MATCH(J30,'В05 Каталог'!$B$5:$B$19,0)),""))</f>
        <v/>
      </c>
      <c r="N30" s="22">
        <f>IF(J30="","",IFERROR(INDEX('В05 Каталог'!$C$5:$C$19,MATCH(J30,'В05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природу",IF(AND(INDEX('В05 Каталог'!$C$5:$C$19,MATCH(J31,'В05 Каталог'!$B$5:$B$19,0))="Лабораторна",F31="фізична",INDEX('В05 Каталог'!$A$5:$A$19,MATCH(J31,'В05 Каталог'!$B$5:$B$19,0))&lt;&gt;"L10"),"Мережевий захід не закриває фізичну загрозу",IF(AND(INDEX('В05 Каталог'!$C$5:$C$19,MATCH(J31,'В05 Каталог'!$B$5:$B$19,0))="Лабораторна",ISERROR(SEARCH(LEFT(D31,1),INDEX('В05 Каталог'!$D$5:$D$19,MATCH(J31,'В05 Каталог'!$B$5:$B$19,0))))),"Захід не діє на цей тип загрози",IF(AND(INDEX('В05 Каталог'!$C$5:$C$19,MATCH(J31,'В05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IF(J31="","",IFERROR(INDEX('В05 Каталог'!$E$5:$E$19,MATCH(J31,'В05 Каталог'!$B$5:$B$19,0)),""))</f>
        <v/>
      </c>
      <c r="N31" s="22">
        <f>IF(J31="","",IFERROR(INDEX('В05 Каталог'!$C$5:$C$19,MATCH(J31,'В05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природу",IF(AND(INDEX('В05 Каталог'!$C$5:$C$19,MATCH(J32,'В05 Каталог'!$B$5:$B$19,0))="Лабораторна",F32="фізична",INDEX('В05 Каталог'!$A$5:$A$19,MATCH(J32,'В05 Каталог'!$B$5:$B$19,0))&lt;&gt;"L10"),"Мережевий захід не закриває фізичну загрозу",IF(AND(INDEX('В05 Каталог'!$C$5:$C$19,MATCH(J32,'В05 Каталог'!$B$5:$B$19,0))="Лабораторна",ISERROR(SEARCH(LEFT(D32,1),INDEX('В05 Каталог'!$D$5:$D$19,MATCH(J32,'В05 Каталог'!$B$5:$B$19,0))))),"Захід не діє на цей тип загрози",IF(AND(INDEX('В05 Каталог'!$C$5:$C$19,MATCH(J32,'В05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IF(J32="","",IFERROR(INDEX('В05 Каталог'!$E$5:$E$19,MATCH(J32,'В05 Каталог'!$B$5:$B$19,0)),""))</f>
        <v/>
      </c>
      <c r="N32" s="22">
        <f>IF(J32="","",IFERROR(INDEX('В05 Каталог'!$C$5:$C$19,MATCH(J32,'В05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природу",IF(AND(INDEX('В05 Каталог'!$C$5:$C$19,MATCH(J33,'В05 Каталог'!$B$5:$B$19,0))="Лабораторна",F33="фізична",INDEX('В05 Каталог'!$A$5:$A$19,MATCH(J33,'В05 Каталог'!$B$5:$B$19,0))&lt;&gt;"L10"),"Мережевий захід не закриває фізичну загрозу",IF(AND(INDEX('В05 Каталог'!$C$5:$C$19,MATCH(J33,'В05 Каталог'!$B$5:$B$19,0))="Лабораторна",ISERROR(SEARCH(LEFT(D33,1),INDEX('В05 Каталог'!$D$5:$D$19,MATCH(J33,'В05 Каталог'!$B$5:$B$19,0))))),"Захід не діє на цей тип загрози",IF(AND(INDEX('В05 Каталог'!$C$5:$C$19,MATCH(J33,'В05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IF(J33="","",IFERROR(INDEX('В05 Каталог'!$E$5:$E$19,MATCH(J33,'В05 Каталог'!$B$5:$B$19,0)),""))</f>
        <v/>
      </c>
      <c r="N33" s="22">
        <f>IF(J33="","",IFERROR(INDEX('В05 Каталог'!$C$5:$C$19,MATCH(J33,'В05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природу",IF(AND(INDEX('В05 Каталог'!$C$5:$C$19,MATCH(J34,'В05 Каталог'!$B$5:$B$19,0))="Лабораторна",F34="фізична",INDEX('В05 Каталог'!$A$5:$A$19,MATCH(J34,'В05 Каталог'!$B$5:$B$19,0))&lt;&gt;"L10"),"Мережевий захід не закриває фізичну загрозу",IF(AND(INDEX('В05 Каталог'!$C$5:$C$19,MATCH(J34,'В05 Каталог'!$B$5:$B$19,0))="Лабораторна",ISERROR(SEARCH(LEFT(D34,1),INDEX('В05 Каталог'!$D$5:$D$19,MATCH(J34,'В05 Каталог'!$B$5:$B$19,0))))),"Захід не діє на цей тип загрози",IF(AND(INDEX('В05 Каталог'!$C$5:$C$19,MATCH(J34,'В05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IF(J34="","",IFERROR(INDEX('В05 Каталог'!$E$5:$E$19,MATCH(J34,'В05 Каталог'!$B$5:$B$19,0)),""))</f>
        <v/>
      </c>
      <c r="N34" s="22">
        <f>IF(J34="","",IFERROR(INDEX('В05 Каталог'!$C$5:$C$19,MATCH(J34,'В05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='В05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='В05 Каталог'!$B$5:$B$19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7030A0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2"/>
    <row r="3"/>
    <row r="4">
      <c r="A4" s="23" t="inlineStr">
        <is>
          <t>Загроз у таблиці</t>
        </is>
      </c>
      <c r="B4" s="24">
        <f>COUNTA('В05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COUNTIF('В05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COUNTIF('В05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COUNTIF('В05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COUNTIF('В05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COUNTIF('В05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COUNTIF('В05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COUNTIF('В05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COUNTIF('В05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COUNTIF('В05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COUNTIF('В05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COUNTIF('В05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COUNTIF('В05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COUNTIF('В05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SUMPRODUCT(('В05 Загрози і заходи'!I5:I34="Так")*('В05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COUNTIFS('В05 Загрози і заходи'!I5:I34,"Так",'В05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COUNTIF('В05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7030A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3"/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n"/>
      <c r="B5" s="11" t="n"/>
      <c r="C5" s="11" t="n"/>
      <c r="D5" s="11" t="n"/>
    </row>
    <row r="6" ht="70" customHeight="1">
      <c r="A6" s="11" t="n"/>
      <c r="B6" s="11" t="n"/>
      <c r="C6" s="11" t="n"/>
      <c r="D6" s="11" t="n"/>
    </row>
    <row r="7" ht="70" customHeight="1">
      <c r="A7" s="11" t="n"/>
      <c r="B7" s="11" t="n"/>
      <c r="C7" s="11" t="n"/>
      <c r="D7" s="11" t="n"/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1"/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n"/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BF8F0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06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BF8F00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06</t>
        </is>
      </c>
    </row>
    <row r="2"/>
    <row r="3">
      <c r="A3" s="10" t="inlineStr">
        <is>
          <t>Студент (прізвище)</t>
        </is>
      </c>
      <c r="B3" s="11" t="n"/>
    </row>
    <row r="4">
      <c r="A4" s="10" t="inlineStr">
        <is>
          <t>Точка прийому</t>
        </is>
      </c>
      <c r="B4" s="12" t="inlineStr">
        <is>
          <t>вуличний банкомат</t>
        </is>
      </c>
    </row>
    <row r="5">
      <c r="A5" s="10" t="inlineStr">
        <is>
          <t>Підключення точки до мережі</t>
        </is>
      </c>
      <c r="B5" s="12" t="inlineStr">
        <is>
          <t>Wi-Fi відділення</t>
        </is>
      </c>
    </row>
    <row r="6">
      <c r="A6" s="10" t="inlineStr">
        <is>
          <t>Зв'язок відділення зі шлюзом</t>
        </is>
      </c>
      <c r="B6" s="12" t="inlineStr">
        <is>
          <t>Інтернет із налаштованим IPsec VPN</t>
        </is>
      </c>
    </row>
    <row r="7">
      <c r="A7" s="10" t="inlineStr">
        <is>
          <t>Особливий учасник</t>
        </is>
      </c>
      <c r="B7" s="12" t="inlineStr">
        <is>
          <t>оператор зв'язку: обладнання й канал на стороні оператора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0"/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n"/>
      <c r="C13" s="15">
        <f>A13&amp;". "&amp;B13</f>
        <v/>
      </c>
    </row>
    <row r="14">
      <c r="A14" s="15" t="inlineStr">
        <is>
          <t>M2</t>
        </is>
      </c>
      <c r="B14" s="11" t="n"/>
      <c r="C14" s="15">
        <f>A14&amp;". "&amp;B14</f>
        <v/>
      </c>
    </row>
    <row r="15">
      <c r="A15" s="15" t="inlineStr">
        <is>
          <t>M3</t>
        </is>
      </c>
      <c r="B15" s="11" t="n"/>
      <c r="C15" s="15">
        <f>A15&amp;". "&amp;B15</f>
        <v/>
      </c>
    </row>
    <row r="16">
      <c r="A16" s="15" t="inlineStr">
        <is>
          <t>M4</t>
        </is>
      </c>
      <c r="B16" s="11" t="n"/>
      <c r="C16" s="15">
        <f>A16&amp;". "&amp;B16</f>
        <v/>
      </c>
    </row>
    <row r="17">
      <c r="A17" s="15" t="inlineStr">
        <is>
          <t>M5</t>
        </is>
      </c>
      <c r="B17" s="11" t="n"/>
      <c r="C17" s="15">
        <f>A17&amp;". "&amp;B17</f>
        <v/>
      </c>
    </row>
    <row r="18">
      <c r="A18" s="15" t="inlineStr">
        <is>
          <t>M6</t>
        </is>
      </c>
      <c r="B18" s="11" t="n"/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BF8F00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3"/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BF8F00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3"/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M1</t>
        </is>
      </c>
      <c r="C5" s="15" t="inlineStr">
        <is>
          <t>T — зміна даних</t>
        </is>
      </c>
      <c r="D5" s="15" t="inlineStr">
        <is>
          <t>Скімер на вуличного банкомата: копіює дані картки</t>
        </is>
      </c>
      <c r="E5" s="15" t="inlineStr">
        <is>
          <t>фізична</t>
        </is>
      </c>
      <c r="F5" s="15" t="n">
        <v>3</v>
      </c>
      <c r="G5" s="15" t="inlineStr">
        <is>
          <t>ЛР1. Сегментація VLAN і маршрутизація між ними</t>
        </is>
      </c>
    </row>
    <row r="6">
      <c r="A6" s="15" t="n">
        <v>2</v>
      </c>
      <c r="B6" s="15" t="inlineStr">
        <is>
          <t>M5</t>
        </is>
      </c>
      <c r="C6" s="15" t="inlineStr">
        <is>
          <t>R — відмова від дій</t>
        </is>
      </c>
      <c r="D6" s="15" t="inlineStr">
        <is>
          <t>Шлюз не зберігає журнал: після шахрайства неможливо відновити послідовність подій</t>
        </is>
      </c>
      <c r="E6" s="15" t="inlineStr">
        <is>
          <t>мережева</t>
        </is>
      </c>
      <c r="F6" s="15" t="n">
        <v>2</v>
      </c>
      <c r="G6" s="15" t="inlineStr">
        <is>
          <t>ЛР10. Syslog, NTP і моніторинг (лише виявляє)</t>
        </is>
      </c>
    </row>
    <row r="7">
      <c r="A7" s="15" t="n">
        <v>3</v>
      </c>
      <c r="B7" s="15" t="inlineStr">
        <is>
          <t>M1</t>
        </is>
      </c>
      <c r="C7" s="15" t="inlineStr">
        <is>
          <t>R — відмова від дій</t>
        </is>
      </c>
      <c r="D7" s="15" t="inlineStr">
        <is>
          <t>Клієнт заперечує операцію, а повного журналу з точним часом немає</t>
        </is>
      </c>
      <c r="E7" s="15" t="inlineStr">
        <is>
          <t>організаційна</t>
        </is>
      </c>
      <c r="F7" s="15" t="n">
        <v>2</v>
      </c>
      <c r="G7" s="15" t="inlineStr">
        <is>
          <t>ЛР10. Syslog, NTP і моніторинг (лише виявляє)</t>
        </is>
      </c>
    </row>
    <row r="8">
      <c r="A8" s="15" t="n">
        <v>4</v>
      </c>
      <c r="B8" s="15" t="inlineStr">
        <is>
          <t>M2</t>
        </is>
      </c>
      <c r="C8" s="15" t="inlineStr">
        <is>
          <t>S — підміна</t>
        </is>
      </c>
      <c r="D8" s="15" t="inlineStr">
        <is>
          <t>Чужий пристрій підключається до Wi-Fi відділення й видає себе за термінал</t>
        </is>
      </c>
      <c r="E8" s="15" t="inlineStr">
        <is>
          <t>мережева</t>
        </is>
      </c>
      <c r="F8" s="15" t="n">
        <v>3</v>
      </c>
      <c r="G8" s="15" t="inlineStr">
        <is>
          <t>ЛР8. Окремий VLAN для пристроїв і захищена Wi-Fi (WPA2)</t>
        </is>
      </c>
    </row>
    <row r="9">
      <c r="A9" s="15" t="n">
        <v>5</v>
      </c>
      <c r="B9" s="15" t="inlineStr">
        <is>
          <t>M3</t>
        </is>
      </c>
      <c r="C9" s="15" t="inlineStr">
        <is>
          <t>T — зміна даних</t>
        </is>
      </c>
      <c r="D9" s="15" t="inlineStr">
        <is>
          <t>Встановити IPsec VPN і міжмережевий екран між відділенням і шлюзом</t>
        </is>
      </c>
      <c r="E9" s="15" t="inlineStr">
        <is>
          <t>мережева</t>
        </is>
      </c>
      <c r="F9" s="15" t="n">
        <v>3</v>
      </c>
      <c r="G9" s="15" t="inlineStr">
        <is>
          <t>ЛР7. IPsec VPN між відділенням і головним офісом</t>
        </is>
      </c>
    </row>
    <row r="10">
      <c r="A10" s="15" t="n">
        <v>6</v>
      </c>
      <c r="B10" s="15" t="inlineStr">
        <is>
          <t>M5</t>
        </is>
      </c>
      <c r="C10" s="15" t="inlineStr">
        <is>
          <t>S — підміна</t>
        </is>
      </c>
      <c r="D10" s="15" t="inlineStr">
        <is>
          <t>Підроблений запит до АБС від зламаного шлюзу чи від ПК відділення</t>
        </is>
      </c>
      <c r="E10" s="15" t="inlineStr">
        <is>
          <t>мережева</t>
        </is>
      </c>
      <c r="F10" s="15" t="n">
        <v>3</v>
      </c>
      <c r="G10" s="15" t="inlineStr">
        <is>
          <t>ЛР5. Міжмережевий екран ASA: зони й NAT</t>
        </is>
      </c>
    </row>
    <row r="11">
      <c r="A11" s="15" t="n">
        <v>7</v>
      </c>
      <c r="B11" s="15" t="inlineStr">
        <is>
          <t>M4</t>
        </is>
      </c>
      <c r="C11" s="15" t="inlineStr">
        <is>
          <t>T — зміна даних</t>
        </is>
      </c>
      <c r="D11" s="15" t="inlineStr">
        <is>
          <t>Перехоплення платіжного трафіку в каналі: зловмисник читає передані дані</t>
        </is>
      </c>
      <c r="E11" s="15" t="inlineStr">
        <is>
          <t>мережева</t>
        </is>
      </c>
      <c r="F11" s="15" t="n">
        <v>3</v>
      </c>
      <c r="G11" s="15" t="inlineStr">
        <is>
          <t>ЛР7. IPsec VPN між відділенням і головним офісом</t>
        </is>
      </c>
    </row>
    <row r="12"/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n"/>
      <c r="B15" s="11" t="n"/>
      <c r="C15" s="11" t="n"/>
      <c r="D15" s="19" t="n"/>
      <c r="E15" s="19" t="n"/>
      <c r="F15" s="19" t="n"/>
      <c r="G15" s="20" t="n"/>
    </row>
    <row r="16">
      <c r="A16" s="11" t="n"/>
      <c r="B16" s="11" t="n"/>
      <c r="C16" s="11" t="n"/>
      <c r="D16" s="19" t="n"/>
      <c r="E16" s="19" t="n"/>
      <c r="F16" s="19" t="n"/>
      <c r="G16" s="20" t="n"/>
    </row>
    <row r="17">
      <c r="A17" s="11" t="n"/>
      <c r="B17" s="11" t="n"/>
      <c r="C17" s="11" t="n"/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BF8F00"/>
    <outlinePr summaryBelow="1" summaryRight="1"/>
    <pageSetUpPr/>
  </sheetPr>
  <dimension ref="A1:O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3"/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n"/>
      <c r="C5" s="11" t="n"/>
      <c r="D5" s="21" t="n"/>
      <c r="E5" s="11" t="n"/>
      <c r="F5" s="21" t="n"/>
      <c r="G5" s="21" t="n"/>
      <c r="H5" s="11" t="n"/>
      <c r="I5" s="21" t="n"/>
      <c r="J5" s="11" t="n"/>
      <c r="K5" s="11" t="n"/>
      <c r="L5" s="15">
        <f>IF(I5&lt;&gt;"Так","",IF(J5="","Оберіть захід",IF(K5="","Вкажіть, де в мережі",IF(D5="","Оберіть літеру STRIDE",IF(F5="","Вкажіть природу",IF(AND(INDEX('В06 Каталог'!$C$5:$C$19,MATCH(J5,'В06 Каталог'!$B$5:$B$19,0))="Лабораторна",F5="фізична",INDEX('В06 Каталог'!$A$5:$A$19,MATCH(J5,'В06 Каталог'!$B$5:$B$19,0))&lt;&gt;"L10"),"Мережевий захід не закриває фізичну загрозу",IF(AND(INDEX('В06 Каталог'!$C$5:$C$19,MATCH(J5,'В06 Каталог'!$B$5:$B$19,0))="Лабораторна",ISERROR(SEARCH(LEFT(D5,1),INDEX('В06 Каталог'!$D$5:$D$19,MATCH(J5,'В06 Каталог'!$B$5:$B$19,0))))),"Захід не діє на цей тип загрози",IF(AND(INDEX('В06 Каталог'!$C$5:$C$19,MATCH(J5,'В06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IF(J5="","",IFERROR(INDEX('В06 Каталог'!$E$5:$E$19,MATCH(J5,'В06 Каталог'!$B$5:$B$19,0)),""))</f>
        <v/>
      </c>
      <c r="N5" s="22">
        <f>IF(J5="","",IFERROR(INDEX('В06 Каталог'!$C$5:$C$19,MATCH(J5,'В06 Каталог'!$B$5:$B$19,0)),""))</f>
        <v/>
      </c>
      <c r="O5" s="21" t="n"/>
    </row>
    <row r="6">
      <c r="A6" s="15" t="n">
        <v>2</v>
      </c>
      <c r="B6" s="11" t="n"/>
      <c r="C6" s="11" t="n"/>
      <c r="D6" s="21" t="n"/>
      <c r="E6" s="11" t="n"/>
      <c r="F6" s="21" t="n"/>
      <c r="G6" s="21" t="n"/>
      <c r="H6" s="11" t="n"/>
      <c r="I6" s="21" t="n"/>
      <c r="J6" s="11" t="n"/>
      <c r="K6" s="11" t="n"/>
      <c r="L6" s="15">
        <f>IF(I6&lt;&gt;"Так","",IF(J6="","Оберіть захід",IF(K6="","Вкажіть, де в мережі",IF(D6="","Оберіть літеру STRIDE",IF(F6="","Вкажіть природу",IF(AND(INDEX('В06 Каталог'!$C$5:$C$19,MATCH(J6,'В06 Каталог'!$B$5:$B$19,0))="Лабораторна",F6="фізична",INDEX('В06 Каталог'!$A$5:$A$19,MATCH(J6,'В06 Каталог'!$B$5:$B$19,0))&lt;&gt;"L10"),"Мережевий захід не закриває фізичну загрозу",IF(AND(INDEX('В06 Каталог'!$C$5:$C$19,MATCH(J6,'В06 Каталог'!$B$5:$B$19,0))="Лабораторна",ISERROR(SEARCH(LEFT(D6,1),INDEX('В06 Каталог'!$D$5:$D$19,MATCH(J6,'В06 Каталог'!$B$5:$B$19,0))))),"Захід не діє на цей тип загрози",IF(AND(INDEX('В06 Каталог'!$C$5:$C$19,MATCH(J6,'В06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IF(J6="","",IFERROR(INDEX('В06 Каталог'!$E$5:$E$19,MATCH(J6,'В06 Каталог'!$B$5:$B$19,0)),""))</f>
        <v/>
      </c>
      <c r="N6" s="22">
        <f>IF(J6="","",IFERROR(INDEX('В06 Каталог'!$C$5:$C$19,MATCH(J6,'В06 Каталог'!$B$5:$B$19,0)),""))</f>
        <v/>
      </c>
      <c r="O6" s="21" t="n"/>
    </row>
    <row r="7">
      <c r="A7" s="15" t="n">
        <v>3</v>
      </c>
      <c r="B7" s="11" t="n"/>
      <c r="C7" s="11" t="n"/>
      <c r="D7" s="21" t="n"/>
      <c r="E7" s="11" t="n"/>
      <c r="F7" s="21" t="n"/>
      <c r="G7" s="21" t="n"/>
      <c r="H7" s="11" t="n"/>
      <c r="I7" s="21" t="n"/>
      <c r="J7" s="11" t="n"/>
      <c r="K7" s="11" t="n"/>
      <c r="L7" s="15">
        <f>IF(I7&lt;&gt;"Так","",IF(J7="","Оберіть захід",IF(K7="","Вкажіть, де в мережі",IF(D7="","Оберіть літеру STRIDE",IF(F7="","Вкажіть природу",IF(AND(INDEX('В06 Каталог'!$C$5:$C$19,MATCH(J7,'В06 Каталог'!$B$5:$B$19,0))="Лабораторна",F7="фізична",INDEX('В06 Каталог'!$A$5:$A$19,MATCH(J7,'В06 Каталог'!$B$5:$B$19,0))&lt;&gt;"L10"),"Мережевий захід не закриває фізичну загрозу",IF(AND(INDEX('В06 Каталог'!$C$5:$C$19,MATCH(J7,'В06 Каталог'!$B$5:$B$19,0))="Лабораторна",ISERROR(SEARCH(LEFT(D7,1),INDEX('В06 Каталог'!$D$5:$D$19,MATCH(J7,'В06 Каталог'!$B$5:$B$19,0))))),"Захід не діє на цей тип загрози",IF(AND(INDEX('В06 Каталог'!$C$5:$C$19,MATCH(J7,'В06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IF(J7="","",IFERROR(INDEX('В06 Каталог'!$E$5:$E$19,MATCH(J7,'В06 Каталог'!$B$5:$B$19,0)),""))</f>
        <v/>
      </c>
      <c r="N7" s="22">
        <f>IF(J7="","",IFERROR(INDEX('В06 Каталог'!$C$5:$C$19,MATCH(J7,'В06 Каталог'!$B$5:$B$19,0)),""))</f>
        <v/>
      </c>
      <c r="O7" s="21" t="n"/>
    </row>
    <row r="8">
      <c r="A8" s="15" t="n">
        <v>4</v>
      </c>
      <c r="B8" s="11" t="n"/>
      <c r="C8" s="11" t="n"/>
      <c r="D8" s="21" t="n"/>
      <c r="E8" s="11" t="n"/>
      <c r="F8" s="21" t="n"/>
      <c r="G8" s="21" t="n"/>
      <c r="H8" s="11" t="n"/>
      <c r="I8" s="21" t="n"/>
      <c r="J8" s="11" t="n"/>
      <c r="K8" s="11" t="n"/>
      <c r="L8" s="15">
        <f>IF(I8&lt;&gt;"Так","",IF(J8="","Оберіть захід",IF(K8="","Вкажіть, де в мережі",IF(D8="","Оберіть літеру STRIDE",IF(F8="","Вкажіть природу",IF(AND(INDEX('В06 Каталог'!$C$5:$C$19,MATCH(J8,'В06 Каталог'!$B$5:$B$19,0))="Лабораторна",F8="фізична",INDEX('В06 Каталог'!$A$5:$A$19,MATCH(J8,'В06 Каталог'!$B$5:$B$19,0))&lt;&gt;"L10"),"Мережевий захід не закриває фізичну загрозу",IF(AND(INDEX('В06 Каталог'!$C$5:$C$19,MATCH(J8,'В06 Каталог'!$B$5:$B$19,0))="Лабораторна",ISERROR(SEARCH(LEFT(D8,1),INDEX('В06 Каталог'!$D$5:$D$19,MATCH(J8,'В06 Каталог'!$B$5:$B$19,0))))),"Захід не діє на цей тип загрози",IF(AND(INDEX('В06 Каталог'!$C$5:$C$19,MATCH(J8,'В06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IF(J8="","",IFERROR(INDEX('В06 Каталог'!$E$5:$E$19,MATCH(J8,'В06 Каталог'!$B$5:$B$19,0)),""))</f>
        <v/>
      </c>
      <c r="N8" s="22">
        <f>IF(J8="","",IFERROR(INDEX('В06 Каталог'!$C$5:$C$19,MATCH(J8,'В06 Каталог'!$B$5:$B$19,0)),""))</f>
        <v/>
      </c>
      <c r="O8" s="21" t="n"/>
    </row>
    <row r="9">
      <c r="A9" s="15" t="n">
        <v>5</v>
      </c>
      <c r="B9" s="11" t="n"/>
      <c r="C9" s="11" t="n"/>
      <c r="D9" s="21" t="n"/>
      <c r="E9" s="11" t="n"/>
      <c r="F9" s="21" t="n"/>
      <c r="G9" s="21" t="n"/>
      <c r="H9" s="11" t="n"/>
      <c r="I9" s="21" t="n"/>
      <c r="J9" s="11" t="n"/>
      <c r="K9" s="11" t="n"/>
      <c r="L9" s="15">
        <f>IF(I9&lt;&gt;"Так","",IF(J9="","Оберіть захід",IF(K9="","Вкажіть, де в мережі",IF(D9="","Оберіть літеру STRIDE",IF(F9="","Вкажіть природу",IF(AND(INDEX('В06 Каталог'!$C$5:$C$19,MATCH(J9,'В06 Каталог'!$B$5:$B$19,0))="Лабораторна",F9="фізична",INDEX('В06 Каталог'!$A$5:$A$19,MATCH(J9,'В06 Каталог'!$B$5:$B$19,0))&lt;&gt;"L10"),"Мережевий захід не закриває фізичну загрозу",IF(AND(INDEX('В06 Каталог'!$C$5:$C$19,MATCH(J9,'В06 Каталог'!$B$5:$B$19,0))="Лабораторна",ISERROR(SEARCH(LEFT(D9,1),INDEX('В06 Каталог'!$D$5:$D$19,MATCH(J9,'В06 Каталог'!$B$5:$B$19,0))))),"Захід не діє на цей тип загрози",IF(AND(INDEX('В06 Каталог'!$C$5:$C$19,MATCH(J9,'В06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IF(J9="","",IFERROR(INDEX('В06 Каталог'!$E$5:$E$19,MATCH(J9,'В06 Каталог'!$B$5:$B$19,0)),""))</f>
        <v/>
      </c>
      <c r="N9" s="22">
        <f>IF(J9="","",IFERROR(INDEX('В06 Каталог'!$C$5:$C$19,MATCH(J9,'В06 Каталог'!$B$5:$B$19,0)),""))</f>
        <v/>
      </c>
      <c r="O9" s="21" t="n"/>
    </row>
    <row r="10">
      <c r="A10" s="15" t="n">
        <v>6</v>
      </c>
      <c r="B10" s="11" t="n"/>
      <c r="C10" s="11" t="n"/>
      <c r="D10" s="21" t="n"/>
      <c r="E10" s="11" t="n"/>
      <c r="F10" s="21" t="n"/>
      <c r="G10" s="21" t="n"/>
      <c r="H10" s="11" t="n"/>
      <c r="I10" s="21" t="n"/>
      <c r="J10" s="11" t="n"/>
      <c r="K10" s="11" t="n"/>
      <c r="L10" s="15">
        <f>IF(I10&lt;&gt;"Так","",IF(J10="","Оберіть захід",IF(K10="","Вкажіть, де в мережі",IF(D10="","Оберіть літеру STRIDE",IF(F10="","Вкажіть природу",IF(AND(INDEX('В06 Каталог'!$C$5:$C$19,MATCH(J10,'В06 Каталог'!$B$5:$B$19,0))="Лабораторна",F10="фізична",INDEX('В06 Каталог'!$A$5:$A$19,MATCH(J10,'В06 Каталог'!$B$5:$B$19,0))&lt;&gt;"L10"),"Мережевий захід не закриває фізичну загрозу",IF(AND(INDEX('В06 Каталог'!$C$5:$C$19,MATCH(J10,'В06 Каталог'!$B$5:$B$19,0))="Лабораторна",ISERROR(SEARCH(LEFT(D10,1),INDEX('В06 Каталог'!$D$5:$D$19,MATCH(J10,'В06 Каталог'!$B$5:$B$19,0))))),"Захід не діє на цей тип загрози",IF(AND(INDEX('В06 Каталог'!$C$5:$C$19,MATCH(J10,'В06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IF(J10="","",IFERROR(INDEX('В06 Каталог'!$E$5:$E$19,MATCH(J10,'В06 Каталог'!$B$5:$B$19,0)),""))</f>
        <v/>
      </c>
      <c r="N10" s="22">
        <f>IF(J10="","",IFERROR(INDEX('В06 Каталог'!$C$5:$C$19,MATCH(J10,'В06 Каталог'!$B$5:$B$19,0)),""))</f>
        <v/>
      </c>
      <c r="O10" s="21" t="n"/>
    </row>
    <row r="11">
      <c r="A11" s="15" t="n">
        <v>7</v>
      </c>
      <c r="B11" s="11" t="n"/>
      <c r="C11" s="11" t="n"/>
      <c r="D11" s="21" t="n"/>
      <c r="E11" s="11" t="n"/>
      <c r="F11" s="21" t="n"/>
      <c r="G11" s="21" t="n"/>
      <c r="H11" s="11" t="n"/>
      <c r="I11" s="21" t="n"/>
      <c r="J11" s="11" t="n"/>
      <c r="K11" s="11" t="n"/>
      <c r="L11" s="15">
        <f>IF(I11&lt;&gt;"Так","",IF(J11="","Оберіть захід",IF(K11="","Вкажіть, де в мережі",IF(D11="","Оберіть літеру STRIDE",IF(F11="","Вкажіть природу",IF(AND(INDEX('В06 Каталог'!$C$5:$C$19,MATCH(J11,'В06 Каталог'!$B$5:$B$19,0))="Лабораторна",F11="фізична",INDEX('В06 Каталог'!$A$5:$A$19,MATCH(J11,'В06 Каталог'!$B$5:$B$19,0))&lt;&gt;"L10"),"Мережевий захід не закриває фізичну загрозу",IF(AND(INDEX('В06 Каталог'!$C$5:$C$19,MATCH(J11,'В06 Каталог'!$B$5:$B$19,0))="Лабораторна",ISERROR(SEARCH(LEFT(D11,1),INDEX('В06 Каталог'!$D$5:$D$19,MATCH(J11,'В06 Каталог'!$B$5:$B$19,0))))),"Захід не діє на цей тип загрози",IF(AND(INDEX('В06 Каталог'!$C$5:$C$19,MATCH(J11,'В06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IF(J11="","",IFERROR(INDEX('В06 Каталог'!$E$5:$E$19,MATCH(J11,'В06 Каталог'!$B$5:$B$19,0)),""))</f>
        <v/>
      </c>
      <c r="N11" s="22">
        <f>IF(J11="","",IFERROR(INDEX('В06 Каталог'!$C$5:$C$19,MATCH(J11,'В06 Каталог'!$B$5:$B$19,0)),""))</f>
        <v/>
      </c>
      <c r="O11" s="21" t="n"/>
    </row>
    <row r="12">
      <c r="A12" s="15" t="n">
        <v>8</v>
      </c>
      <c r="B12" s="11" t="n"/>
      <c r="C12" s="11" t="n"/>
      <c r="D12" s="21" t="n"/>
      <c r="E12" s="11" t="n"/>
      <c r="F12" s="21" t="n"/>
      <c r="G12" s="21" t="n"/>
      <c r="H12" s="11" t="n"/>
      <c r="I12" s="21" t="n"/>
      <c r="J12" s="11" t="n"/>
      <c r="K12" s="11" t="n"/>
      <c r="L12" s="15">
        <f>IF(I12&lt;&gt;"Так","",IF(J12="","Оберіть захід",IF(K12="","Вкажіть, де в мережі",IF(D12="","Оберіть літеру STRIDE",IF(F12="","Вкажіть природу",IF(AND(INDEX('В06 Каталог'!$C$5:$C$19,MATCH(J12,'В06 Каталог'!$B$5:$B$19,0))="Лабораторна",F12="фізична",INDEX('В06 Каталог'!$A$5:$A$19,MATCH(J12,'В06 Каталог'!$B$5:$B$19,0))&lt;&gt;"L10"),"Мережевий захід не закриває фізичну загрозу",IF(AND(INDEX('В06 Каталог'!$C$5:$C$19,MATCH(J12,'В06 Каталог'!$B$5:$B$19,0))="Лабораторна",ISERROR(SEARCH(LEFT(D12,1),INDEX('В06 Каталог'!$D$5:$D$19,MATCH(J12,'В06 Каталог'!$B$5:$B$19,0))))),"Захід не діє на цей тип загрози",IF(AND(INDEX('В06 Каталог'!$C$5:$C$19,MATCH(J12,'В06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IF(J12="","",IFERROR(INDEX('В06 Каталог'!$E$5:$E$19,MATCH(J12,'В06 Каталог'!$B$5:$B$19,0)),""))</f>
        <v/>
      </c>
      <c r="N12" s="22">
        <f>IF(J12="","",IFERROR(INDEX('В06 Каталог'!$C$5:$C$19,MATCH(J12,'В06 Каталог'!$B$5:$B$19,0)),""))</f>
        <v/>
      </c>
      <c r="O12" s="21" t="n"/>
    </row>
    <row r="13">
      <c r="A13" s="15" t="n">
        <v>9</v>
      </c>
      <c r="B13" s="11" t="n"/>
      <c r="C13" s="11" t="n"/>
      <c r="D13" s="21" t="n"/>
      <c r="E13" s="11" t="n"/>
      <c r="F13" s="21" t="n"/>
      <c r="G13" s="21" t="n"/>
      <c r="H13" s="11" t="n"/>
      <c r="I13" s="21" t="n"/>
      <c r="J13" s="11" t="n"/>
      <c r="K13" s="11" t="n"/>
      <c r="L13" s="15">
        <f>IF(I13&lt;&gt;"Так","",IF(J13="","Оберіть захід",IF(K13="","Вкажіть, де в мережі",IF(D13="","Оберіть літеру STRIDE",IF(F13="","Вкажіть природу",IF(AND(INDEX('В06 Каталог'!$C$5:$C$19,MATCH(J13,'В06 Каталог'!$B$5:$B$19,0))="Лабораторна",F13="фізична",INDEX('В06 Каталог'!$A$5:$A$19,MATCH(J13,'В06 Каталог'!$B$5:$B$19,0))&lt;&gt;"L10"),"Мережевий захід не закриває фізичну загрозу",IF(AND(INDEX('В06 Каталог'!$C$5:$C$19,MATCH(J13,'В06 Каталог'!$B$5:$B$19,0))="Лабораторна",ISERROR(SEARCH(LEFT(D13,1),INDEX('В06 Каталог'!$D$5:$D$19,MATCH(J13,'В06 Каталог'!$B$5:$B$19,0))))),"Захід не діє на цей тип загрози",IF(AND(INDEX('В06 Каталог'!$C$5:$C$19,MATCH(J13,'В06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IF(J13="","",IFERROR(INDEX('В06 Каталог'!$E$5:$E$19,MATCH(J13,'В06 Каталог'!$B$5:$B$19,0)),""))</f>
        <v/>
      </c>
      <c r="N13" s="22">
        <f>IF(J13="","",IFERROR(INDEX('В06 Каталог'!$C$5:$C$19,MATCH(J13,'В06 Каталог'!$B$5:$B$19,0)),""))</f>
        <v/>
      </c>
      <c r="O13" s="21" t="n"/>
    </row>
    <row r="14">
      <c r="A14" s="15" t="n">
        <v>10</v>
      </c>
      <c r="B14" s="11" t="n"/>
      <c r="C14" s="11" t="n"/>
      <c r="D14" s="21" t="n"/>
      <c r="E14" s="11" t="n"/>
      <c r="F14" s="21" t="n"/>
      <c r="G14" s="21" t="n"/>
      <c r="H14" s="11" t="n"/>
      <c r="I14" s="21" t="n"/>
      <c r="J14" s="11" t="n"/>
      <c r="K14" s="11" t="n"/>
      <c r="L14" s="15">
        <f>IF(I14&lt;&gt;"Так","",IF(J14="","Оберіть захід",IF(K14="","Вкажіть, де в мережі",IF(D14="","Оберіть літеру STRIDE",IF(F14="","Вкажіть природу",IF(AND(INDEX('В06 Каталог'!$C$5:$C$19,MATCH(J14,'В06 Каталог'!$B$5:$B$19,0))="Лабораторна",F14="фізична",INDEX('В06 Каталог'!$A$5:$A$19,MATCH(J14,'В06 Каталог'!$B$5:$B$19,0))&lt;&gt;"L10"),"Мережевий захід не закриває фізичну загрозу",IF(AND(INDEX('В06 Каталог'!$C$5:$C$19,MATCH(J14,'В06 Каталог'!$B$5:$B$19,0))="Лабораторна",ISERROR(SEARCH(LEFT(D14,1),INDEX('В06 Каталог'!$D$5:$D$19,MATCH(J14,'В06 Каталог'!$B$5:$B$19,0))))),"Захід не діє на цей тип загрози",IF(AND(INDEX('В06 Каталог'!$C$5:$C$19,MATCH(J14,'В06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IF(J14="","",IFERROR(INDEX('В06 Каталог'!$E$5:$E$19,MATCH(J14,'В06 Каталог'!$B$5:$B$19,0)),""))</f>
        <v/>
      </c>
      <c r="N14" s="22">
        <f>IF(J14="","",IFERROR(INDEX('В06 Каталог'!$C$5:$C$19,MATCH(J14,'В06 Каталог'!$B$5:$B$19,0)),""))</f>
        <v/>
      </c>
      <c r="O14" s="21" t="n"/>
    </row>
    <row r="15">
      <c r="A15" s="15" t="n">
        <v>11</v>
      </c>
      <c r="B15" s="11" t="n"/>
      <c r="C15" s="11" t="n"/>
      <c r="D15" s="21" t="n"/>
      <c r="E15" s="11" t="n"/>
      <c r="F15" s="21" t="n"/>
      <c r="G15" s="21" t="n"/>
      <c r="H15" s="11" t="n"/>
      <c r="I15" s="21" t="n"/>
      <c r="J15" s="11" t="n"/>
      <c r="K15" s="11" t="n"/>
      <c r="L15" s="15">
        <f>IF(I15&lt;&gt;"Так","",IF(J15="","Оберіть захід",IF(K15="","Вкажіть, де в мережі",IF(D15="","Оберіть літеру STRIDE",IF(F15="","Вкажіть природу",IF(AND(INDEX('В06 Каталог'!$C$5:$C$19,MATCH(J15,'В06 Каталог'!$B$5:$B$19,0))="Лабораторна",F15="фізична",INDEX('В06 Каталог'!$A$5:$A$19,MATCH(J15,'В06 Каталог'!$B$5:$B$19,0))&lt;&gt;"L10"),"Мережевий захід не закриває фізичну загрозу",IF(AND(INDEX('В06 Каталог'!$C$5:$C$19,MATCH(J15,'В06 Каталог'!$B$5:$B$19,0))="Лабораторна",ISERROR(SEARCH(LEFT(D15,1),INDEX('В06 Каталог'!$D$5:$D$19,MATCH(J15,'В06 Каталог'!$B$5:$B$19,0))))),"Захід не діє на цей тип загрози",IF(AND(INDEX('В06 Каталог'!$C$5:$C$19,MATCH(J15,'В06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IF(J15="","",IFERROR(INDEX('В06 Каталог'!$E$5:$E$19,MATCH(J15,'В06 Каталог'!$B$5:$B$19,0)),""))</f>
        <v/>
      </c>
      <c r="N15" s="22">
        <f>IF(J15="","",IFERROR(INDEX('В06 Каталог'!$C$5:$C$19,MATCH(J15,'В06 Каталог'!$B$5:$B$19,0)),""))</f>
        <v/>
      </c>
      <c r="O15" s="21" t="n"/>
    </row>
    <row r="16">
      <c r="A16" s="15" t="n">
        <v>12</v>
      </c>
      <c r="B16" s="11" t="n"/>
      <c r="C16" s="11" t="n"/>
      <c r="D16" s="21" t="n"/>
      <c r="E16" s="11" t="n"/>
      <c r="F16" s="21" t="n"/>
      <c r="G16" s="21" t="n"/>
      <c r="H16" s="11" t="n"/>
      <c r="I16" s="21" t="n"/>
      <c r="J16" s="11" t="n"/>
      <c r="K16" s="11" t="n"/>
      <c r="L16" s="15">
        <f>IF(I16&lt;&gt;"Так","",IF(J16="","Оберіть захід",IF(K16="","Вкажіть, де в мережі",IF(D16="","Оберіть літеру STRIDE",IF(F16="","Вкажіть природу",IF(AND(INDEX('В06 Каталог'!$C$5:$C$19,MATCH(J16,'В06 Каталог'!$B$5:$B$19,0))="Лабораторна",F16="фізична",INDEX('В06 Каталог'!$A$5:$A$19,MATCH(J16,'В06 Каталог'!$B$5:$B$19,0))&lt;&gt;"L10"),"Мережевий захід не закриває фізичну загрозу",IF(AND(INDEX('В06 Каталог'!$C$5:$C$19,MATCH(J16,'В06 Каталог'!$B$5:$B$19,0))="Лабораторна",ISERROR(SEARCH(LEFT(D16,1),INDEX('В06 Каталог'!$D$5:$D$19,MATCH(J16,'В06 Каталог'!$B$5:$B$19,0))))),"Захід не діє на цей тип загрози",IF(AND(INDEX('В06 Каталог'!$C$5:$C$19,MATCH(J16,'В06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IF(J16="","",IFERROR(INDEX('В06 Каталог'!$E$5:$E$19,MATCH(J16,'В06 Каталог'!$B$5:$B$19,0)),""))</f>
        <v/>
      </c>
      <c r="N16" s="22">
        <f>IF(J16="","",IFERROR(INDEX('В06 Каталог'!$C$5:$C$19,MATCH(J16,'В06 Каталог'!$B$5:$B$19,0)),""))</f>
        <v/>
      </c>
      <c r="O16" s="21" t="n"/>
    </row>
    <row r="17">
      <c r="A17" s="15" t="n">
        <v>13</v>
      </c>
      <c r="B17" s="11" t="n"/>
      <c r="C17" s="11" t="n"/>
      <c r="D17" s="21" t="n"/>
      <c r="E17" s="11" t="n"/>
      <c r="F17" s="21" t="n"/>
      <c r="G17" s="21" t="n"/>
      <c r="H17" s="11" t="n"/>
      <c r="I17" s="21" t="n"/>
      <c r="J17" s="11" t="n"/>
      <c r="K17" s="11" t="n"/>
      <c r="L17" s="15">
        <f>IF(I17&lt;&gt;"Так","",IF(J17="","Оберіть захід",IF(K17="","Вкажіть, де в мережі",IF(D17="","Оберіть літеру STRIDE",IF(F17="","Вкажіть природу",IF(AND(INDEX('В06 Каталог'!$C$5:$C$19,MATCH(J17,'В06 Каталог'!$B$5:$B$19,0))="Лабораторна",F17="фізична",INDEX('В06 Каталог'!$A$5:$A$19,MATCH(J17,'В06 Каталог'!$B$5:$B$19,0))&lt;&gt;"L10"),"Мережевий захід не закриває фізичну загрозу",IF(AND(INDEX('В06 Каталог'!$C$5:$C$19,MATCH(J17,'В06 Каталог'!$B$5:$B$19,0))="Лабораторна",ISERROR(SEARCH(LEFT(D17,1),INDEX('В06 Каталог'!$D$5:$D$19,MATCH(J17,'В06 Каталог'!$B$5:$B$19,0))))),"Захід не діє на цей тип загрози",IF(AND(INDEX('В06 Каталог'!$C$5:$C$19,MATCH(J17,'В06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IF(J17="","",IFERROR(INDEX('В06 Каталог'!$E$5:$E$19,MATCH(J17,'В06 Каталог'!$B$5:$B$19,0)),""))</f>
        <v/>
      </c>
      <c r="N17" s="22">
        <f>IF(J17="","",IFERROR(INDEX('В06 Каталог'!$C$5:$C$19,MATCH(J17,'В06 Каталог'!$B$5:$B$19,0)),""))</f>
        <v/>
      </c>
      <c r="O17" s="21" t="n"/>
    </row>
    <row r="18">
      <c r="A18" s="15" t="n">
        <v>14</v>
      </c>
      <c r="B18" s="11" t="n"/>
      <c r="C18" s="11" t="n"/>
      <c r="D18" s="21" t="n"/>
      <c r="E18" s="11" t="n"/>
      <c r="F18" s="21" t="n"/>
      <c r="G18" s="21" t="n"/>
      <c r="H18" s="11" t="n"/>
      <c r="I18" s="21" t="n"/>
      <c r="J18" s="11" t="n"/>
      <c r="K18" s="11" t="n"/>
      <c r="L18" s="15">
        <f>IF(I18&lt;&gt;"Так","",IF(J18="","Оберіть захід",IF(K18="","Вкажіть, де в мережі",IF(D18="","Оберіть літеру STRIDE",IF(F18="","Вкажіть природу",IF(AND(INDEX('В06 Каталог'!$C$5:$C$19,MATCH(J18,'В06 Каталог'!$B$5:$B$19,0))="Лабораторна",F18="фізична",INDEX('В06 Каталог'!$A$5:$A$19,MATCH(J18,'В06 Каталог'!$B$5:$B$19,0))&lt;&gt;"L10"),"Мережевий захід не закриває фізичну загрозу",IF(AND(INDEX('В06 Каталог'!$C$5:$C$19,MATCH(J18,'В06 Каталог'!$B$5:$B$19,0))="Лабораторна",ISERROR(SEARCH(LEFT(D18,1),INDEX('В06 Каталог'!$D$5:$D$19,MATCH(J18,'В06 Каталог'!$B$5:$B$19,0))))),"Захід не діє на цей тип загрози",IF(AND(INDEX('В06 Каталог'!$C$5:$C$19,MATCH(J18,'В06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IF(J18="","",IFERROR(INDEX('В06 Каталог'!$E$5:$E$19,MATCH(J18,'В06 Каталог'!$B$5:$B$19,0)),""))</f>
        <v/>
      </c>
      <c r="N18" s="22">
        <f>IF(J18="","",IFERROR(INDEX('В06 Каталог'!$C$5:$C$19,MATCH(J18,'В06 Каталог'!$B$5:$B$19,0)),""))</f>
        <v/>
      </c>
      <c r="O18" s="21" t="n"/>
    </row>
    <row r="19">
      <c r="A19" s="15" t="n">
        <v>15</v>
      </c>
      <c r="B19" s="11" t="n"/>
      <c r="C19" s="11" t="n"/>
      <c r="D19" s="21" t="n"/>
      <c r="E19" s="11" t="n"/>
      <c r="F19" s="21" t="n"/>
      <c r="G19" s="21" t="n"/>
      <c r="H19" s="11" t="n"/>
      <c r="I19" s="21" t="n"/>
      <c r="J19" s="11" t="n"/>
      <c r="K19" s="11" t="n"/>
      <c r="L19" s="15">
        <f>IF(I19&lt;&gt;"Так","",IF(J19="","Оберіть захід",IF(K19="","Вкажіть, де в мережі",IF(D19="","Оберіть літеру STRIDE",IF(F19="","Вкажіть природу",IF(AND(INDEX('В06 Каталог'!$C$5:$C$19,MATCH(J19,'В06 Каталог'!$B$5:$B$19,0))="Лабораторна",F19="фізична",INDEX('В06 Каталог'!$A$5:$A$19,MATCH(J19,'В06 Каталог'!$B$5:$B$19,0))&lt;&gt;"L10"),"Мережевий захід не закриває фізичну загрозу",IF(AND(INDEX('В06 Каталог'!$C$5:$C$19,MATCH(J19,'В06 Каталог'!$B$5:$B$19,0))="Лабораторна",ISERROR(SEARCH(LEFT(D19,1),INDEX('В06 Каталог'!$D$5:$D$19,MATCH(J19,'В06 Каталог'!$B$5:$B$19,0))))),"Захід не діє на цей тип загрози",IF(AND(INDEX('В06 Каталог'!$C$5:$C$19,MATCH(J19,'В06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IF(J19="","",IFERROR(INDEX('В06 Каталог'!$E$5:$E$19,MATCH(J19,'В06 Каталог'!$B$5:$B$19,0)),""))</f>
        <v/>
      </c>
      <c r="N19" s="22">
        <f>IF(J19="","",IFERROR(INDEX('В06 Каталог'!$C$5:$C$19,MATCH(J19,'В06 Каталог'!$B$5:$B$19,0)),""))</f>
        <v/>
      </c>
      <c r="O19" s="21" t="n"/>
    </row>
    <row r="20">
      <c r="A20" s="15" t="n">
        <v>16</v>
      </c>
      <c r="B20" s="11" t="n"/>
      <c r="C20" s="11" t="n"/>
      <c r="D20" s="21" t="n"/>
      <c r="E20" s="11" t="n"/>
      <c r="F20" s="21" t="n"/>
      <c r="G20" s="21" t="n"/>
      <c r="H20" s="11" t="n"/>
      <c r="I20" s="21" t="n"/>
      <c r="J20" s="11" t="n"/>
      <c r="K20" s="11" t="n"/>
      <c r="L20" s="15">
        <f>IF(I20&lt;&gt;"Так","",IF(J20="","Оберіть захід",IF(K20="","Вкажіть, де в мережі",IF(D20="","Оберіть літеру STRIDE",IF(F20="","Вкажіть природу",IF(AND(INDEX('В06 Каталог'!$C$5:$C$19,MATCH(J20,'В06 Каталог'!$B$5:$B$19,0))="Лабораторна",F20="фізична",INDEX('В06 Каталог'!$A$5:$A$19,MATCH(J20,'В06 Каталог'!$B$5:$B$19,0))&lt;&gt;"L10"),"Мережевий захід не закриває фізичну загрозу",IF(AND(INDEX('В06 Каталог'!$C$5:$C$19,MATCH(J20,'В06 Каталог'!$B$5:$B$19,0))="Лабораторна",ISERROR(SEARCH(LEFT(D20,1),INDEX('В06 Каталог'!$D$5:$D$19,MATCH(J20,'В06 Каталог'!$B$5:$B$19,0))))),"Захід не діє на цей тип загрози",IF(AND(INDEX('В06 Каталог'!$C$5:$C$19,MATCH(J20,'В06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IF(J20="","",IFERROR(INDEX('В06 Каталог'!$E$5:$E$19,MATCH(J20,'В06 Каталог'!$B$5:$B$19,0)),""))</f>
        <v/>
      </c>
      <c r="N20" s="22">
        <f>IF(J20="","",IFERROR(INDEX('В06 Каталог'!$C$5:$C$19,MATCH(J20,'В06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природу",IF(AND(INDEX('В06 Каталог'!$C$5:$C$19,MATCH(J21,'В06 Каталог'!$B$5:$B$19,0))="Лабораторна",F21="фізична",INDEX('В06 Каталог'!$A$5:$A$19,MATCH(J21,'В06 Каталог'!$B$5:$B$19,0))&lt;&gt;"L10"),"Мережевий захід не закриває фізичну загрозу",IF(AND(INDEX('В06 Каталог'!$C$5:$C$19,MATCH(J21,'В06 Каталог'!$B$5:$B$19,0))="Лабораторна",ISERROR(SEARCH(LEFT(D21,1),INDEX('В06 Каталог'!$D$5:$D$19,MATCH(J21,'В06 Каталог'!$B$5:$B$19,0))))),"Захід не діє на цей тип загрози",IF(AND(INDEX('В06 Каталог'!$C$5:$C$19,MATCH(J21,'В06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IF(J21="","",IFERROR(INDEX('В06 Каталог'!$E$5:$E$19,MATCH(J21,'В06 Каталог'!$B$5:$B$19,0)),""))</f>
        <v/>
      </c>
      <c r="N21" s="22">
        <f>IF(J21="","",IFERROR(INDEX('В06 Каталог'!$C$5:$C$19,MATCH(J21,'В06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природу",IF(AND(INDEX('В06 Каталог'!$C$5:$C$19,MATCH(J22,'В06 Каталог'!$B$5:$B$19,0))="Лабораторна",F22="фізична",INDEX('В06 Каталог'!$A$5:$A$19,MATCH(J22,'В06 Каталог'!$B$5:$B$19,0))&lt;&gt;"L10"),"Мережевий захід не закриває фізичну загрозу",IF(AND(INDEX('В06 Каталог'!$C$5:$C$19,MATCH(J22,'В06 Каталог'!$B$5:$B$19,0))="Лабораторна",ISERROR(SEARCH(LEFT(D22,1),INDEX('В06 Каталог'!$D$5:$D$19,MATCH(J22,'В06 Каталог'!$B$5:$B$19,0))))),"Захід не діє на цей тип загрози",IF(AND(INDEX('В06 Каталог'!$C$5:$C$19,MATCH(J22,'В06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IF(J22="","",IFERROR(INDEX('В06 Каталог'!$E$5:$E$19,MATCH(J22,'В06 Каталог'!$B$5:$B$19,0)),""))</f>
        <v/>
      </c>
      <c r="N22" s="22">
        <f>IF(J22="","",IFERROR(INDEX('В06 Каталог'!$C$5:$C$19,MATCH(J22,'В06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природу",IF(AND(INDEX('В06 Каталог'!$C$5:$C$19,MATCH(J23,'В06 Каталог'!$B$5:$B$19,0))="Лабораторна",F23="фізична",INDEX('В06 Каталог'!$A$5:$A$19,MATCH(J23,'В06 Каталог'!$B$5:$B$19,0))&lt;&gt;"L10"),"Мережевий захід не закриває фізичну загрозу",IF(AND(INDEX('В06 Каталог'!$C$5:$C$19,MATCH(J23,'В06 Каталог'!$B$5:$B$19,0))="Лабораторна",ISERROR(SEARCH(LEFT(D23,1),INDEX('В06 Каталог'!$D$5:$D$19,MATCH(J23,'В06 Каталог'!$B$5:$B$19,0))))),"Захід не діє на цей тип загрози",IF(AND(INDEX('В06 Каталог'!$C$5:$C$19,MATCH(J23,'В06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IF(J23="","",IFERROR(INDEX('В06 Каталог'!$E$5:$E$19,MATCH(J23,'В06 Каталог'!$B$5:$B$19,0)),""))</f>
        <v/>
      </c>
      <c r="N23" s="22">
        <f>IF(J23="","",IFERROR(INDEX('В06 Каталог'!$C$5:$C$19,MATCH(J23,'В06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природу",IF(AND(INDEX('В06 Каталог'!$C$5:$C$19,MATCH(J24,'В06 Каталог'!$B$5:$B$19,0))="Лабораторна",F24="фізична",INDEX('В06 Каталог'!$A$5:$A$19,MATCH(J24,'В06 Каталог'!$B$5:$B$19,0))&lt;&gt;"L10"),"Мережевий захід не закриває фізичну загрозу",IF(AND(INDEX('В06 Каталог'!$C$5:$C$19,MATCH(J24,'В06 Каталог'!$B$5:$B$19,0))="Лабораторна",ISERROR(SEARCH(LEFT(D24,1),INDEX('В06 Каталог'!$D$5:$D$19,MATCH(J24,'В06 Каталог'!$B$5:$B$19,0))))),"Захід не діє на цей тип загрози",IF(AND(INDEX('В06 Каталог'!$C$5:$C$19,MATCH(J24,'В06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IF(J24="","",IFERROR(INDEX('В06 Каталог'!$E$5:$E$19,MATCH(J24,'В06 Каталог'!$B$5:$B$19,0)),""))</f>
        <v/>
      </c>
      <c r="N24" s="22">
        <f>IF(J24="","",IFERROR(INDEX('В06 Каталог'!$C$5:$C$19,MATCH(J24,'В06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природу",IF(AND(INDEX('В06 Каталог'!$C$5:$C$19,MATCH(J25,'В06 Каталог'!$B$5:$B$19,0))="Лабораторна",F25="фізична",INDEX('В06 Каталог'!$A$5:$A$19,MATCH(J25,'В06 Каталог'!$B$5:$B$19,0))&lt;&gt;"L10"),"Мережевий захід не закриває фізичну загрозу",IF(AND(INDEX('В06 Каталог'!$C$5:$C$19,MATCH(J25,'В06 Каталог'!$B$5:$B$19,0))="Лабораторна",ISERROR(SEARCH(LEFT(D25,1),INDEX('В06 Каталог'!$D$5:$D$19,MATCH(J25,'В06 Каталог'!$B$5:$B$19,0))))),"Захід не діє на цей тип загрози",IF(AND(INDEX('В06 Каталог'!$C$5:$C$19,MATCH(J25,'В06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IF(J25="","",IFERROR(INDEX('В06 Каталог'!$E$5:$E$19,MATCH(J25,'В06 Каталог'!$B$5:$B$19,0)),""))</f>
        <v/>
      </c>
      <c r="N25" s="22">
        <f>IF(J25="","",IFERROR(INDEX('В06 Каталог'!$C$5:$C$19,MATCH(J25,'В06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природу",IF(AND(INDEX('В06 Каталог'!$C$5:$C$19,MATCH(J26,'В06 Каталог'!$B$5:$B$19,0))="Лабораторна",F26="фізична",INDEX('В06 Каталог'!$A$5:$A$19,MATCH(J26,'В06 Каталог'!$B$5:$B$19,0))&lt;&gt;"L10"),"Мережевий захід не закриває фізичну загрозу",IF(AND(INDEX('В06 Каталог'!$C$5:$C$19,MATCH(J26,'В06 Каталог'!$B$5:$B$19,0))="Лабораторна",ISERROR(SEARCH(LEFT(D26,1),INDEX('В06 Каталог'!$D$5:$D$19,MATCH(J26,'В06 Каталог'!$B$5:$B$19,0))))),"Захід не діє на цей тип загрози",IF(AND(INDEX('В06 Каталог'!$C$5:$C$19,MATCH(J26,'В06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IF(J26="","",IFERROR(INDEX('В06 Каталог'!$E$5:$E$19,MATCH(J26,'В06 Каталог'!$B$5:$B$19,0)),""))</f>
        <v/>
      </c>
      <c r="N26" s="22">
        <f>IF(J26="","",IFERROR(INDEX('В06 Каталог'!$C$5:$C$19,MATCH(J26,'В06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природу",IF(AND(INDEX('В06 Каталог'!$C$5:$C$19,MATCH(J27,'В06 Каталог'!$B$5:$B$19,0))="Лабораторна",F27="фізична",INDEX('В06 Каталог'!$A$5:$A$19,MATCH(J27,'В06 Каталог'!$B$5:$B$19,0))&lt;&gt;"L10"),"Мережевий захід не закриває фізичну загрозу",IF(AND(INDEX('В06 Каталог'!$C$5:$C$19,MATCH(J27,'В06 Каталог'!$B$5:$B$19,0))="Лабораторна",ISERROR(SEARCH(LEFT(D27,1),INDEX('В06 Каталог'!$D$5:$D$19,MATCH(J27,'В06 Каталог'!$B$5:$B$19,0))))),"Захід не діє на цей тип загрози",IF(AND(INDEX('В06 Каталог'!$C$5:$C$19,MATCH(J27,'В06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IF(J27="","",IFERROR(INDEX('В06 Каталог'!$E$5:$E$19,MATCH(J27,'В06 Каталог'!$B$5:$B$19,0)),""))</f>
        <v/>
      </c>
      <c r="N27" s="22">
        <f>IF(J27="","",IFERROR(INDEX('В06 Каталог'!$C$5:$C$19,MATCH(J27,'В06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природу",IF(AND(INDEX('В06 Каталог'!$C$5:$C$19,MATCH(J28,'В06 Каталог'!$B$5:$B$19,0))="Лабораторна",F28="фізична",INDEX('В06 Каталог'!$A$5:$A$19,MATCH(J28,'В06 Каталог'!$B$5:$B$19,0))&lt;&gt;"L10"),"Мережевий захід не закриває фізичну загрозу",IF(AND(INDEX('В06 Каталог'!$C$5:$C$19,MATCH(J28,'В06 Каталог'!$B$5:$B$19,0))="Лабораторна",ISERROR(SEARCH(LEFT(D28,1),INDEX('В06 Каталог'!$D$5:$D$19,MATCH(J28,'В06 Каталог'!$B$5:$B$19,0))))),"Захід не діє на цей тип загрози",IF(AND(INDEX('В06 Каталог'!$C$5:$C$19,MATCH(J28,'В06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IF(J28="","",IFERROR(INDEX('В06 Каталог'!$E$5:$E$19,MATCH(J28,'В06 Каталог'!$B$5:$B$19,0)),""))</f>
        <v/>
      </c>
      <c r="N28" s="22">
        <f>IF(J28="","",IFERROR(INDEX('В06 Каталог'!$C$5:$C$19,MATCH(J28,'В06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природу",IF(AND(INDEX('В06 Каталог'!$C$5:$C$19,MATCH(J29,'В06 Каталог'!$B$5:$B$19,0))="Лабораторна",F29="фізична",INDEX('В06 Каталог'!$A$5:$A$19,MATCH(J29,'В06 Каталог'!$B$5:$B$19,0))&lt;&gt;"L10"),"Мережевий захід не закриває фізичну загрозу",IF(AND(INDEX('В06 Каталог'!$C$5:$C$19,MATCH(J29,'В06 Каталог'!$B$5:$B$19,0))="Лабораторна",ISERROR(SEARCH(LEFT(D29,1),INDEX('В06 Каталог'!$D$5:$D$19,MATCH(J29,'В06 Каталог'!$B$5:$B$19,0))))),"Захід не діє на цей тип загрози",IF(AND(INDEX('В06 Каталог'!$C$5:$C$19,MATCH(J29,'В06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IF(J29="","",IFERROR(INDEX('В06 Каталог'!$E$5:$E$19,MATCH(J29,'В06 Каталог'!$B$5:$B$19,0)),""))</f>
        <v/>
      </c>
      <c r="N29" s="22">
        <f>IF(J29="","",IFERROR(INDEX('В06 Каталог'!$C$5:$C$19,MATCH(J29,'В06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природу",IF(AND(INDEX('В06 Каталог'!$C$5:$C$19,MATCH(J30,'В06 Каталог'!$B$5:$B$19,0))="Лабораторна",F30="фізична",INDEX('В06 Каталог'!$A$5:$A$19,MATCH(J30,'В06 Каталог'!$B$5:$B$19,0))&lt;&gt;"L10"),"Мережевий захід не закриває фізичну загрозу",IF(AND(INDEX('В06 Каталог'!$C$5:$C$19,MATCH(J30,'В06 Каталог'!$B$5:$B$19,0))="Лабораторна",ISERROR(SEARCH(LEFT(D30,1),INDEX('В06 Каталог'!$D$5:$D$19,MATCH(J30,'В06 Каталог'!$B$5:$B$19,0))))),"Захід не діє на цей тип загрози",IF(AND(INDEX('В06 Каталог'!$C$5:$C$19,MATCH(J30,'В06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IF(J30="","",IFERROR(INDEX('В06 Каталог'!$E$5:$E$19,MATCH(J30,'В06 Каталог'!$B$5:$B$19,0)),""))</f>
        <v/>
      </c>
      <c r="N30" s="22">
        <f>IF(J30="","",IFERROR(INDEX('В06 Каталог'!$C$5:$C$19,MATCH(J30,'В06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природу",IF(AND(INDEX('В06 Каталог'!$C$5:$C$19,MATCH(J31,'В06 Каталог'!$B$5:$B$19,0))="Лабораторна",F31="фізична",INDEX('В06 Каталог'!$A$5:$A$19,MATCH(J31,'В06 Каталог'!$B$5:$B$19,0))&lt;&gt;"L10"),"Мережевий захід не закриває фізичну загрозу",IF(AND(INDEX('В06 Каталог'!$C$5:$C$19,MATCH(J31,'В06 Каталог'!$B$5:$B$19,0))="Лабораторна",ISERROR(SEARCH(LEFT(D31,1),INDEX('В06 Каталог'!$D$5:$D$19,MATCH(J31,'В06 Каталог'!$B$5:$B$19,0))))),"Захід не діє на цей тип загрози",IF(AND(INDEX('В06 Каталог'!$C$5:$C$19,MATCH(J31,'В06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IF(J31="","",IFERROR(INDEX('В06 Каталог'!$E$5:$E$19,MATCH(J31,'В06 Каталог'!$B$5:$B$19,0)),""))</f>
        <v/>
      </c>
      <c r="N31" s="22">
        <f>IF(J31="","",IFERROR(INDEX('В06 Каталог'!$C$5:$C$19,MATCH(J31,'В06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природу",IF(AND(INDEX('В06 Каталог'!$C$5:$C$19,MATCH(J32,'В06 Каталог'!$B$5:$B$19,0))="Лабораторна",F32="фізична",INDEX('В06 Каталог'!$A$5:$A$19,MATCH(J32,'В06 Каталог'!$B$5:$B$19,0))&lt;&gt;"L10"),"Мережевий захід не закриває фізичну загрозу",IF(AND(INDEX('В06 Каталог'!$C$5:$C$19,MATCH(J32,'В06 Каталог'!$B$5:$B$19,0))="Лабораторна",ISERROR(SEARCH(LEFT(D32,1),INDEX('В06 Каталог'!$D$5:$D$19,MATCH(J32,'В06 Каталог'!$B$5:$B$19,0))))),"Захід не діє на цей тип загрози",IF(AND(INDEX('В06 Каталог'!$C$5:$C$19,MATCH(J32,'В06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IF(J32="","",IFERROR(INDEX('В06 Каталог'!$E$5:$E$19,MATCH(J32,'В06 Каталог'!$B$5:$B$19,0)),""))</f>
        <v/>
      </c>
      <c r="N32" s="22">
        <f>IF(J32="","",IFERROR(INDEX('В06 Каталог'!$C$5:$C$19,MATCH(J32,'В06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природу",IF(AND(INDEX('В06 Каталог'!$C$5:$C$19,MATCH(J33,'В06 Каталог'!$B$5:$B$19,0))="Лабораторна",F33="фізична",INDEX('В06 Каталог'!$A$5:$A$19,MATCH(J33,'В06 Каталог'!$B$5:$B$19,0))&lt;&gt;"L10"),"Мережевий захід не закриває фізичну загрозу",IF(AND(INDEX('В06 Каталог'!$C$5:$C$19,MATCH(J33,'В06 Каталог'!$B$5:$B$19,0))="Лабораторна",ISERROR(SEARCH(LEFT(D33,1),INDEX('В06 Каталог'!$D$5:$D$19,MATCH(J33,'В06 Каталог'!$B$5:$B$19,0))))),"Захід не діє на цей тип загрози",IF(AND(INDEX('В06 Каталог'!$C$5:$C$19,MATCH(J33,'В06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IF(J33="","",IFERROR(INDEX('В06 Каталог'!$E$5:$E$19,MATCH(J33,'В06 Каталог'!$B$5:$B$19,0)),""))</f>
        <v/>
      </c>
      <c r="N33" s="22">
        <f>IF(J33="","",IFERROR(INDEX('В06 Каталог'!$C$5:$C$19,MATCH(J33,'В06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природу",IF(AND(INDEX('В06 Каталог'!$C$5:$C$19,MATCH(J34,'В06 Каталог'!$B$5:$B$19,0))="Лабораторна",F34="фізична",INDEX('В06 Каталог'!$A$5:$A$19,MATCH(J34,'В06 Каталог'!$B$5:$B$19,0))&lt;&gt;"L10"),"Мережевий захід не закриває фізичну загрозу",IF(AND(INDEX('В06 Каталог'!$C$5:$C$19,MATCH(J34,'В06 Каталог'!$B$5:$B$19,0))="Лабораторна",ISERROR(SEARCH(LEFT(D34,1),INDEX('В06 Каталог'!$D$5:$D$19,MATCH(J34,'В06 Каталог'!$B$5:$B$19,0))))),"Захід не діє на цей тип загрози",IF(AND(INDEX('В06 Каталог'!$C$5:$C$19,MATCH(J34,'В06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IF(J34="","",IFERROR(INDEX('В06 Каталог'!$E$5:$E$19,MATCH(J34,'В06 Каталог'!$B$5:$B$19,0)),""))</f>
        <v/>
      </c>
      <c r="N34" s="22">
        <f>IF(J34="","",IFERROR(INDEX('В06 Каталог'!$C$5:$C$19,MATCH(J34,'В06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='В06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='В06 Каталог'!$B$5:$B$19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BF8F00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2"/>
    <row r="3"/>
    <row r="4">
      <c r="A4" s="23" t="inlineStr">
        <is>
          <t>Загроз у таблиці</t>
        </is>
      </c>
      <c r="B4" s="24">
        <f>COUNTA('В06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COUNTIF('В06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COUNTIF('В06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COUNTIF('В06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COUNTIF('В06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COUNTIF('В06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COUNTIF('В06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COUNTIF('В06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COUNTIF('В06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COUNTIF('В06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COUNTIF('В06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COUNTIF('В06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COUNTIF('В06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COUNTIF('В06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SUMPRODUCT(('В06 Загрози і заходи'!I5:I34="Так")*('В06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COUNTIFS('В06 Загрози і заходи'!I5:I34,"Так",'В06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COUNTIF('В06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BF8F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3"/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n"/>
      <c r="B5" s="11" t="n"/>
      <c r="C5" s="11" t="n"/>
      <c r="D5" s="11" t="n"/>
    </row>
    <row r="6" ht="70" customHeight="1">
      <c r="A6" s="11" t="n"/>
      <c r="B6" s="11" t="n"/>
      <c r="C6" s="11" t="n"/>
      <c r="D6" s="11" t="n"/>
    </row>
    <row r="7" ht="70" customHeight="1">
      <c r="A7" s="11" t="n"/>
      <c r="B7" s="11" t="n"/>
      <c r="C7" s="11" t="n"/>
      <c r="D7" s="11" t="n"/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1"/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n"/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833C0B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07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833C0B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07</t>
        </is>
      </c>
    </row>
    <row r="2"/>
    <row r="3">
      <c r="A3" s="10" t="inlineStr">
        <is>
          <t>Студент (прізвище)</t>
        </is>
      </c>
      <c r="B3" s="11" t="n"/>
    </row>
    <row r="4">
      <c r="A4" s="10" t="inlineStr">
        <is>
          <t>Точка прийому</t>
        </is>
      </c>
      <c r="B4" s="12" t="inlineStr">
        <is>
          <t>банкомат у залі обслуговування</t>
        </is>
      </c>
    </row>
    <row r="5">
      <c r="A5" s="10" t="inlineStr">
        <is>
          <t>Підключення точки до мережі</t>
        </is>
      </c>
      <c r="B5" s="12" t="inlineStr">
        <is>
          <t>Ethernet-кабель усередині будівлі</t>
        </is>
      </c>
    </row>
    <row r="6">
      <c r="A6" s="10" t="inlineStr">
        <is>
          <t>Зв'язок відділення зі шлюзом</t>
        </is>
      </c>
      <c r="B6" s="12" t="inlineStr">
        <is>
          <t>звичайний Інтернет без VPN</t>
        </is>
      </c>
    </row>
    <row r="7">
      <c r="A7" s="10" t="inlineStr">
        <is>
          <t>Особливий учасник</t>
        </is>
      </c>
      <c r="B7" s="12" t="inlineStr">
        <is>
          <t>процесинговий центр, що адмініструє платіжний шлюз: адміністрування платіжного шлюзу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0"/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n"/>
      <c r="C13" s="15">
        <f>A13&amp;". "&amp;B13</f>
        <v/>
      </c>
    </row>
    <row r="14">
      <c r="A14" s="15" t="inlineStr">
        <is>
          <t>M2</t>
        </is>
      </c>
      <c r="B14" s="11" t="n"/>
      <c r="C14" s="15">
        <f>A14&amp;". "&amp;B14</f>
        <v/>
      </c>
    </row>
    <row r="15">
      <c r="A15" s="15" t="inlineStr">
        <is>
          <t>M3</t>
        </is>
      </c>
      <c r="B15" s="11" t="n"/>
      <c r="C15" s="15">
        <f>A15&amp;". "&amp;B15</f>
        <v/>
      </c>
    </row>
    <row r="16">
      <c r="A16" s="15" t="inlineStr">
        <is>
          <t>M4</t>
        </is>
      </c>
      <c r="B16" s="11" t="n"/>
      <c r="C16" s="15">
        <f>A16&amp;". "&amp;B16</f>
        <v/>
      </c>
    </row>
    <row r="17">
      <c r="A17" s="15" t="inlineStr">
        <is>
          <t>M5</t>
        </is>
      </c>
      <c r="B17" s="11" t="n"/>
      <c r="C17" s="15">
        <f>A17&amp;". "&amp;B17</f>
        <v/>
      </c>
    </row>
    <row r="18">
      <c r="A18" s="15" t="inlineStr">
        <is>
          <t>M6</t>
        </is>
      </c>
      <c r="B18" s="11" t="n"/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833C0B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3"/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833C0B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3"/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M2</t>
        </is>
      </c>
      <c r="C5" s="15" t="inlineStr">
        <is>
          <t>T — зміна даних</t>
        </is>
      </c>
      <c r="D5" s="15" t="inlineStr">
        <is>
          <t>Підробний DHCP-сервер видає терміналу чужий шлюз і перехоплює платіжний трафік</t>
        </is>
      </c>
      <c r="E5" s="15" t="inlineStr">
        <is>
          <t>мережева</t>
        </is>
      </c>
      <c r="F5" s="15" t="n">
        <v>2</v>
      </c>
      <c r="G5" s="15" t="inlineStr">
        <is>
          <t>ЛР3. DHCP Snooping</t>
        </is>
      </c>
    </row>
    <row r="6">
      <c r="A6" s="15" t="n">
        <v>2</v>
      </c>
      <c r="B6" s="15" t="inlineStr">
        <is>
          <t>M3</t>
        </is>
      </c>
      <c r="C6" s="15" t="inlineStr">
        <is>
          <t>T — зміна даних</t>
        </is>
      </c>
      <c r="D6" s="15" t="inlineStr">
        <is>
          <t>Встановити IPsec VPN і міжмережевий екран між відділенням і шлюзом</t>
        </is>
      </c>
      <c r="E6" s="15" t="inlineStr">
        <is>
          <t>мережева</t>
        </is>
      </c>
      <c r="F6" s="15" t="n">
        <v>3</v>
      </c>
      <c r="G6" s="15" t="inlineStr">
        <is>
          <t>ЛР7. IPsec VPN між відділенням і головним офісом</t>
        </is>
      </c>
    </row>
    <row r="7">
      <c r="A7" s="15" t="n">
        <v>3</v>
      </c>
      <c r="B7" s="15" t="inlineStr">
        <is>
          <t>M5</t>
        </is>
      </c>
      <c r="C7" s="15" t="inlineStr">
        <is>
          <t>S — підміна</t>
        </is>
      </c>
      <c r="D7" s="15" t="inlineStr">
        <is>
          <t>Підроблений запит до АБС від зламаного шлюзу чи від ПК відділення</t>
        </is>
      </c>
      <c r="E7" s="15" t="inlineStr">
        <is>
          <t>мережева</t>
        </is>
      </c>
      <c r="F7" s="15" t="n">
        <v>3</v>
      </c>
      <c r="G7" s="15" t="inlineStr">
        <is>
          <t>ЛР5. Міжмережевий екран ASA: зони й NAT</t>
        </is>
      </c>
    </row>
    <row r="8">
      <c r="A8" s="15" t="n">
        <v>4</v>
      </c>
      <c r="B8" s="15" t="inlineStr">
        <is>
          <t>M4</t>
        </is>
      </c>
      <c r="C8" s="15" t="inlineStr">
        <is>
          <t>T — зміна даних</t>
        </is>
      </c>
      <c r="D8" s="15" t="inlineStr">
        <is>
          <t>Перехоплення платіжного трафіку в каналі: зловмисник читає передані дані</t>
        </is>
      </c>
      <c r="E8" s="15" t="inlineStr">
        <is>
          <t>мережева</t>
        </is>
      </c>
      <c r="F8" s="15" t="n">
        <v>3</v>
      </c>
      <c r="G8" s="15" t="inlineStr">
        <is>
          <t>ЛР7. IPsec VPN між відділенням і головним офісом</t>
        </is>
      </c>
    </row>
    <row r="9">
      <c r="A9" s="15" t="n">
        <v>5</v>
      </c>
      <c r="B9" s="15" t="inlineStr">
        <is>
          <t>M1</t>
        </is>
      </c>
      <c r="C9" s="15" t="inlineStr">
        <is>
          <t>T — зміна даних</t>
        </is>
      </c>
      <c r="D9" s="15" t="inlineStr">
        <is>
          <t>Скімер на банкомата в залі: копіює дані картки</t>
        </is>
      </c>
      <c r="E9" s="15" t="inlineStr">
        <is>
          <t>фізична</t>
        </is>
      </c>
      <c r="F9" s="15" t="n">
        <v>3</v>
      </c>
      <c r="G9" s="15" t="inlineStr">
        <is>
          <t>ЛР1. Сегментація VLAN і маршрутизація між ними</t>
        </is>
      </c>
    </row>
    <row r="10">
      <c r="A10" s="15" t="n">
        <v>6</v>
      </c>
      <c r="B10" s="15" t="inlineStr">
        <is>
          <t>M5</t>
        </is>
      </c>
      <c r="C10" s="15" t="inlineStr">
        <is>
          <t>R — відмова від дій</t>
        </is>
      </c>
      <c r="D10" s="15" t="inlineStr">
        <is>
          <t>Шлюз не зберігає журнал: після шахрайства неможливо відновити послідовність подій</t>
        </is>
      </c>
      <c r="E10" s="15" t="inlineStr">
        <is>
          <t>мережева</t>
        </is>
      </c>
      <c r="F10" s="15" t="n">
        <v>2</v>
      </c>
      <c r="G10" s="15" t="inlineStr">
        <is>
          <t>ЛР10. Syslog, NTP і моніторинг (лише виявляє)</t>
        </is>
      </c>
    </row>
    <row r="11">
      <c r="A11" s="15" t="n">
        <v>7</v>
      </c>
      <c r="B11" s="15" t="inlineStr">
        <is>
          <t>M1</t>
        </is>
      </c>
      <c r="C11" s="15" t="inlineStr">
        <is>
          <t>R — відмова від дій</t>
        </is>
      </c>
      <c r="D11" s="15" t="inlineStr">
        <is>
          <t>Клієнт заперечує операцію, а повного журналу з точним часом немає</t>
        </is>
      </c>
      <c r="E11" s="15" t="inlineStr">
        <is>
          <t>організаційна</t>
        </is>
      </c>
      <c r="F11" s="15" t="n">
        <v>2</v>
      </c>
      <c r="G11" s="15" t="inlineStr">
        <is>
          <t>ЛР10. Syslog, NTP і моніторинг (лише виявляє)</t>
        </is>
      </c>
    </row>
    <row r="12"/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n"/>
      <c r="B15" s="11" t="n"/>
      <c r="C15" s="11" t="n"/>
      <c r="D15" s="19" t="n"/>
      <c r="E15" s="19" t="n"/>
      <c r="F15" s="19" t="n"/>
      <c r="G15" s="20" t="n"/>
    </row>
    <row r="16">
      <c r="A16" s="11" t="n"/>
      <c r="B16" s="11" t="n"/>
      <c r="C16" s="11" t="n"/>
      <c r="D16" s="19" t="n"/>
      <c r="E16" s="19" t="n"/>
      <c r="F16" s="19" t="n"/>
      <c r="G16" s="20" t="n"/>
    </row>
    <row r="17">
      <c r="A17" s="11" t="n"/>
      <c r="B17" s="11" t="n"/>
      <c r="C17" s="11" t="n"/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833C0B"/>
    <outlinePr summaryBelow="1" summaryRight="1"/>
    <pageSetUpPr/>
  </sheetPr>
  <dimension ref="A1:O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3"/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n"/>
      <c r="C5" s="11" t="n"/>
      <c r="D5" s="21" t="n"/>
      <c r="E5" s="11" t="n"/>
      <c r="F5" s="21" t="n"/>
      <c r="G5" s="21" t="n"/>
      <c r="H5" s="11" t="n"/>
      <c r="I5" s="21" t="n"/>
      <c r="J5" s="11" t="n"/>
      <c r="K5" s="11" t="n"/>
      <c r="L5" s="15">
        <f>IF(I5&lt;&gt;"Так","",IF(J5="","Оберіть захід",IF(K5="","Вкажіть, де в мережі",IF(D5="","Оберіть літеру STRIDE",IF(F5="","Вкажіть природу",IF(AND(INDEX('В07 Каталог'!$C$5:$C$19,MATCH(J5,'В07 Каталог'!$B$5:$B$19,0))="Лабораторна",F5="фізична",INDEX('В07 Каталог'!$A$5:$A$19,MATCH(J5,'В07 Каталог'!$B$5:$B$19,0))&lt;&gt;"L10"),"Мережевий захід не закриває фізичну загрозу",IF(AND(INDEX('В07 Каталог'!$C$5:$C$19,MATCH(J5,'В07 Каталог'!$B$5:$B$19,0))="Лабораторна",ISERROR(SEARCH(LEFT(D5,1),INDEX('В07 Каталог'!$D$5:$D$19,MATCH(J5,'В07 Каталог'!$B$5:$B$19,0))))),"Захід не діє на цей тип загрози",IF(AND(INDEX('В07 Каталог'!$C$5:$C$19,MATCH(J5,'В07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IF(J5="","",IFERROR(INDEX('В07 Каталог'!$E$5:$E$19,MATCH(J5,'В07 Каталог'!$B$5:$B$19,0)),""))</f>
        <v/>
      </c>
      <c r="N5" s="22">
        <f>IF(J5="","",IFERROR(INDEX('В07 Каталог'!$C$5:$C$19,MATCH(J5,'В07 Каталог'!$B$5:$B$19,0)),""))</f>
        <v/>
      </c>
      <c r="O5" s="21" t="n"/>
    </row>
    <row r="6">
      <c r="A6" s="15" t="n">
        <v>2</v>
      </c>
      <c r="B6" s="11" t="n"/>
      <c r="C6" s="11" t="n"/>
      <c r="D6" s="21" t="n"/>
      <c r="E6" s="11" t="n"/>
      <c r="F6" s="21" t="n"/>
      <c r="G6" s="21" t="n"/>
      <c r="H6" s="11" t="n"/>
      <c r="I6" s="21" t="n"/>
      <c r="J6" s="11" t="n"/>
      <c r="K6" s="11" t="n"/>
      <c r="L6" s="15">
        <f>IF(I6&lt;&gt;"Так","",IF(J6="","Оберіть захід",IF(K6="","Вкажіть, де в мережі",IF(D6="","Оберіть літеру STRIDE",IF(F6="","Вкажіть природу",IF(AND(INDEX('В07 Каталог'!$C$5:$C$19,MATCH(J6,'В07 Каталог'!$B$5:$B$19,0))="Лабораторна",F6="фізична",INDEX('В07 Каталог'!$A$5:$A$19,MATCH(J6,'В07 Каталог'!$B$5:$B$19,0))&lt;&gt;"L10"),"Мережевий захід не закриває фізичну загрозу",IF(AND(INDEX('В07 Каталог'!$C$5:$C$19,MATCH(J6,'В07 Каталог'!$B$5:$B$19,0))="Лабораторна",ISERROR(SEARCH(LEFT(D6,1),INDEX('В07 Каталог'!$D$5:$D$19,MATCH(J6,'В07 Каталог'!$B$5:$B$19,0))))),"Захід не діє на цей тип загрози",IF(AND(INDEX('В07 Каталог'!$C$5:$C$19,MATCH(J6,'В07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IF(J6="","",IFERROR(INDEX('В07 Каталог'!$E$5:$E$19,MATCH(J6,'В07 Каталог'!$B$5:$B$19,0)),""))</f>
        <v/>
      </c>
      <c r="N6" s="22">
        <f>IF(J6="","",IFERROR(INDEX('В07 Каталог'!$C$5:$C$19,MATCH(J6,'В07 Каталог'!$B$5:$B$19,0)),""))</f>
        <v/>
      </c>
      <c r="O6" s="21" t="n"/>
    </row>
    <row r="7">
      <c r="A7" s="15" t="n">
        <v>3</v>
      </c>
      <c r="B7" s="11" t="n"/>
      <c r="C7" s="11" t="n"/>
      <c r="D7" s="21" t="n"/>
      <c r="E7" s="11" t="n"/>
      <c r="F7" s="21" t="n"/>
      <c r="G7" s="21" t="n"/>
      <c r="H7" s="11" t="n"/>
      <c r="I7" s="21" t="n"/>
      <c r="J7" s="11" t="n"/>
      <c r="K7" s="11" t="n"/>
      <c r="L7" s="15">
        <f>IF(I7&lt;&gt;"Так","",IF(J7="","Оберіть захід",IF(K7="","Вкажіть, де в мережі",IF(D7="","Оберіть літеру STRIDE",IF(F7="","Вкажіть природу",IF(AND(INDEX('В07 Каталог'!$C$5:$C$19,MATCH(J7,'В07 Каталог'!$B$5:$B$19,0))="Лабораторна",F7="фізична",INDEX('В07 Каталог'!$A$5:$A$19,MATCH(J7,'В07 Каталог'!$B$5:$B$19,0))&lt;&gt;"L10"),"Мережевий захід не закриває фізичну загрозу",IF(AND(INDEX('В07 Каталог'!$C$5:$C$19,MATCH(J7,'В07 Каталог'!$B$5:$B$19,0))="Лабораторна",ISERROR(SEARCH(LEFT(D7,1),INDEX('В07 Каталог'!$D$5:$D$19,MATCH(J7,'В07 Каталог'!$B$5:$B$19,0))))),"Захід не діє на цей тип загрози",IF(AND(INDEX('В07 Каталог'!$C$5:$C$19,MATCH(J7,'В07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IF(J7="","",IFERROR(INDEX('В07 Каталог'!$E$5:$E$19,MATCH(J7,'В07 Каталог'!$B$5:$B$19,0)),""))</f>
        <v/>
      </c>
      <c r="N7" s="22">
        <f>IF(J7="","",IFERROR(INDEX('В07 Каталог'!$C$5:$C$19,MATCH(J7,'В07 Каталог'!$B$5:$B$19,0)),""))</f>
        <v/>
      </c>
      <c r="O7" s="21" t="n"/>
    </row>
    <row r="8">
      <c r="A8" s="15" t="n">
        <v>4</v>
      </c>
      <c r="B8" s="11" t="n"/>
      <c r="C8" s="11" t="n"/>
      <c r="D8" s="21" t="n"/>
      <c r="E8" s="11" t="n"/>
      <c r="F8" s="21" t="n"/>
      <c r="G8" s="21" t="n"/>
      <c r="H8" s="11" t="n"/>
      <c r="I8" s="21" t="n"/>
      <c r="J8" s="11" t="n"/>
      <c r="K8" s="11" t="n"/>
      <c r="L8" s="15">
        <f>IF(I8&lt;&gt;"Так","",IF(J8="","Оберіть захід",IF(K8="","Вкажіть, де в мережі",IF(D8="","Оберіть літеру STRIDE",IF(F8="","Вкажіть природу",IF(AND(INDEX('В07 Каталог'!$C$5:$C$19,MATCH(J8,'В07 Каталог'!$B$5:$B$19,0))="Лабораторна",F8="фізична",INDEX('В07 Каталог'!$A$5:$A$19,MATCH(J8,'В07 Каталог'!$B$5:$B$19,0))&lt;&gt;"L10"),"Мережевий захід не закриває фізичну загрозу",IF(AND(INDEX('В07 Каталог'!$C$5:$C$19,MATCH(J8,'В07 Каталог'!$B$5:$B$19,0))="Лабораторна",ISERROR(SEARCH(LEFT(D8,1),INDEX('В07 Каталог'!$D$5:$D$19,MATCH(J8,'В07 Каталог'!$B$5:$B$19,0))))),"Захід не діє на цей тип загрози",IF(AND(INDEX('В07 Каталог'!$C$5:$C$19,MATCH(J8,'В07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IF(J8="","",IFERROR(INDEX('В07 Каталог'!$E$5:$E$19,MATCH(J8,'В07 Каталог'!$B$5:$B$19,0)),""))</f>
        <v/>
      </c>
      <c r="N8" s="22">
        <f>IF(J8="","",IFERROR(INDEX('В07 Каталог'!$C$5:$C$19,MATCH(J8,'В07 Каталог'!$B$5:$B$19,0)),""))</f>
        <v/>
      </c>
      <c r="O8" s="21" t="n"/>
    </row>
    <row r="9">
      <c r="A9" s="15" t="n">
        <v>5</v>
      </c>
      <c r="B9" s="11" t="n"/>
      <c r="C9" s="11" t="n"/>
      <c r="D9" s="21" t="n"/>
      <c r="E9" s="11" t="n"/>
      <c r="F9" s="21" t="n"/>
      <c r="G9" s="21" t="n"/>
      <c r="H9" s="11" t="n"/>
      <c r="I9" s="21" t="n"/>
      <c r="J9" s="11" t="n"/>
      <c r="K9" s="11" t="n"/>
      <c r="L9" s="15">
        <f>IF(I9&lt;&gt;"Так","",IF(J9="","Оберіть захід",IF(K9="","Вкажіть, де в мережі",IF(D9="","Оберіть літеру STRIDE",IF(F9="","Вкажіть природу",IF(AND(INDEX('В07 Каталог'!$C$5:$C$19,MATCH(J9,'В07 Каталог'!$B$5:$B$19,0))="Лабораторна",F9="фізична",INDEX('В07 Каталог'!$A$5:$A$19,MATCH(J9,'В07 Каталог'!$B$5:$B$19,0))&lt;&gt;"L10"),"Мережевий захід не закриває фізичну загрозу",IF(AND(INDEX('В07 Каталог'!$C$5:$C$19,MATCH(J9,'В07 Каталог'!$B$5:$B$19,0))="Лабораторна",ISERROR(SEARCH(LEFT(D9,1),INDEX('В07 Каталог'!$D$5:$D$19,MATCH(J9,'В07 Каталог'!$B$5:$B$19,0))))),"Захід не діє на цей тип загрози",IF(AND(INDEX('В07 Каталог'!$C$5:$C$19,MATCH(J9,'В07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IF(J9="","",IFERROR(INDEX('В07 Каталог'!$E$5:$E$19,MATCH(J9,'В07 Каталог'!$B$5:$B$19,0)),""))</f>
        <v/>
      </c>
      <c r="N9" s="22">
        <f>IF(J9="","",IFERROR(INDEX('В07 Каталог'!$C$5:$C$19,MATCH(J9,'В07 Каталог'!$B$5:$B$19,0)),""))</f>
        <v/>
      </c>
      <c r="O9" s="21" t="n"/>
    </row>
    <row r="10">
      <c r="A10" s="15" t="n">
        <v>6</v>
      </c>
      <c r="B10" s="11" t="n"/>
      <c r="C10" s="11" t="n"/>
      <c r="D10" s="21" t="n"/>
      <c r="E10" s="11" t="n"/>
      <c r="F10" s="21" t="n"/>
      <c r="G10" s="21" t="n"/>
      <c r="H10" s="11" t="n"/>
      <c r="I10" s="21" t="n"/>
      <c r="J10" s="11" t="n"/>
      <c r="K10" s="11" t="n"/>
      <c r="L10" s="15">
        <f>IF(I10&lt;&gt;"Так","",IF(J10="","Оберіть захід",IF(K10="","Вкажіть, де в мережі",IF(D10="","Оберіть літеру STRIDE",IF(F10="","Вкажіть природу",IF(AND(INDEX('В07 Каталог'!$C$5:$C$19,MATCH(J10,'В07 Каталог'!$B$5:$B$19,0))="Лабораторна",F10="фізична",INDEX('В07 Каталог'!$A$5:$A$19,MATCH(J10,'В07 Каталог'!$B$5:$B$19,0))&lt;&gt;"L10"),"Мережевий захід не закриває фізичну загрозу",IF(AND(INDEX('В07 Каталог'!$C$5:$C$19,MATCH(J10,'В07 Каталог'!$B$5:$B$19,0))="Лабораторна",ISERROR(SEARCH(LEFT(D10,1),INDEX('В07 Каталог'!$D$5:$D$19,MATCH(J10,'В07 Каталог'!$B$5:$B$19,0))))),"Захід не діє на цей тип загрози",IF(AND(INDEX('В07 Каталог'!$C$5:$C$19,MATCH(J10,'В07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IF(J10="","",IFERROR(INDEX('В07 Каталог'!$E$5:$E$19,MATCH(J10,'В07 Каталог'!$B$5:$B$19,0)),""))</f>
        <v/>
      </c>
      <c r="N10" s="22">
        <f>IF(J10="","",IFERROR(INDEX('В07 Каталог'!$C$5:$C$19,MATCH(J10,'В07 Каталог'!$B$5:$B$19,0)),""))</f>
        <v/>
      </c>
      <c r="O10" s="21" t="n"/>
    </row>
    <row r="11">
      <c r="A11" s="15" t="n">
        <v>7</v>
      </c>
      <c r="B11" s="11" t="n"/>
      <c r="C11" s="11" t="n"/>
      <c r="D11" s="21" t="n"/>
      <c r="E11" s="11" t="n"/>
      <c r="F11" s="21" t="n"/>
      <c r="G11" s="21" t="n"/>
      <c r="H11" s="11" t="n"/>
      <c r="I11" s="21" t="n"/>
      <c r="J11" s="11" t="n"/>
      <c r="K11" s="11" t="n"/>
      <c r="L11" s="15">
        <f>IF(I11&lt;&gt;"Так","",IF(J11="","Оберіть захід",IF(K11="","Вкажіть, де в мережі",IF(D11="","Оберіть літеру STRIDE",IF(F11="","Вкажіть природу",IF(AND(INDEX('В07 Каталог'!$C$5:$C$19,MATCH(J11,'В07 Каталог'!$B$5:$B$19,0))="Лабораторна",F11="фізична",INDEX('В07 Каталог'!$A$5:$A$19,MATCH(J11,'В07 Каталог'!$B$5:$B$19,0))&lt;&gt;"L10"),"Мережевий захід не закриває фізичну загрозу",IF(AND(INDEX('В07 Каталог'!$C$5:$C$19,MATCH(J11,'В07 Каталог'!$B$5:$B$19,0))="Лабораторна",ISERROR(SEARCH(LEFT(D11,1),INDEX('В07 Каталог'!$D$5:$D$19,MATCH(J11,'В07 Каталог'!$B$5:$B$19,0))))),"Захід не діє на цей тип загрози",IF(AND(INDEX('В07 Каталог'!$C$5:$C$19,MATCH(J11,'В07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IF(J11="","",IFERROR(INDEX('В07 Каталог'!$E$5:$E$19,MATCH(J11,'В07 Каталог'!$B$5:$B$19,0)),""))</f>
        <v/>
      </c>
      <c r="N11" s="22">
        <f>IF(J11="","",IFERROR(INDEX('В07 Каталог'!$C$5:$C$19,MATCH(J11,'В07 Каталог'!$B$5:$B$19,0)),""))</f>
        <v/>
      </c>
      <c r="O11" s="21" t="n"/>
    </row>
    <row r="12">
      <c r="A12" s="15" t="n">
        <v>8</v>
      </c>
      <c r="B12" s="11" t="n"/>
      <c r="C12" s="11" t="n"/>
      <c r="D12" s="21" t="n"/>
      <c r="E12" s="11" t="n"/>
      <c r="F12" s="21" t="n"/>
      <c r="G12" s="21" t="n"/>
      <c r="H12" s="11" t="n"/>
      <c r="I12" s="21" t="n"/>
      <c r="J12" s="11" t="n"/>
      <c r="K12" s="11" t="n"/>
      <c r="L12" s="15">
        <f>IF(I12&lt;&gt;"Так","",IF(J12="","Оберіть захід",IF(K12="","Вкажіть, де в мережі",IF(D12="","Оберіть літеру STRIDE",IF(F12="","Вкажіть природу",IF(AND(INDEX('В07 Каталог'!$C$5:$C$19,MATCH(J12,'В07 Каталог'!$B$5:$B$19,0))="Лабораторна",F12="фізична",INDEX('В07 Каталог'!$A$5:$A$19,MATCH(J12,'В07 Каталог'!$B$5:$B$19,0))&lt;&gt;"L10"),"Мережевий захід не закриває фізичну загрозу",IF(AND(INDEX('В07 Каталог'!$C$5:$C$19,MATCH(J12,'В07 Каталог'!$B$5:$B$19,0))="Лабораторна",ISERROR(SEARCH(LEFT(D12,1),INDEX('В07 Каталог'!$D$5:$D$19,MATCH(J12,'В07 Каталог'!$B$5:$B$19,0))))),"Захід не діє на цей тип загрози",IF(AND(INDEX('В07 Каталог'!$C$5:$C$19,MATCH(J12,'В07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IF(J12="","",IFERROR(INDEX('В07 Каталог'!$E$5:$E$19,MATCH(J12,'В07 Каталог'!$B$5:$B$19,0)),""))</f>
        <v/>
      </c>
      <c r="N12" s="22">
        <f>IF(J12="","",IFERROR(INDEX('В07 Каталог'!$C$5:$C$19,MATCH(J12,'В07 Каталог'!$B$5:$B$19,0)),""))</f>
        <v/>
      </c>
      <c r="O12" s="21" t="n"/>
    </row>
    <row r="13">
      <c r="A13" s="15" t="n">
        <v>9</v>
      </c>
      <c r="B13" s="11" t="n"/>
      <c r="C13" s="11" t="n"/>
      <c r="D13" s="21" t="n"/>
      <c r="E13" s="11" t="n"/>
      <c r="F13" s="21" t="n"/>
      <c r="G13" s="21" t="n"/>
      <c r="H13" s="11" t="n"/>
      <c r="I13" s="21" t="n"/>
      <c r="J13" s="11" t="n"/>
      <c r="K13" s="11" t="n"/>
      <c r="L13" s="15">
        <f>IF(I13&lt;&gt;"Так","",IF(J13="","Оберіть захід",IF(K13="","Вкажіть, де в мережі",IF(D13="","Оберіть літеру STRIDE",IF(F13="","Вкажіть природу",IF(AND(INDEX('В07 Каталог'!$C$5:$C$19,MATCH(J13,'В07 Каталог'!$B$5:$B$19,0))="Лабораторна",F13="фізична",INDEX('В07 Каталог'!$A$5:$A$19,MATCH(J13,'В07 Каталог'!$B$5:$B$19,0))&lt;&gt;"L10"),"Мережевий захід не закриває фізичну загрозу",IF(AND(INDEX('В07 Каталог'!$C$5:$C$19,MATCH(J13,'В07 Каталог'!$B$5:$B$19,0))="Лабораторна",ISERROR(SEARCH(LEFT(D13,1),INDEX('В07 Каталог'!$D$5:$D$19,MATCH(J13,'В07 Каталог'!$B$5:$B$19,0))))),"Захід не діє на цей тип загрози",IF(AND(INDEX('В07 Каталог'!$C$5:$C$19,MATCH(J13,'В07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IF(J13="","",IFERROR(INDEX('В07 Каталог'!$E$5:$E$19,MATCH(J13,'В07 Каталог'!$B$5:$B$19,0)),""))</f>
        <v/>
      </c>
      <c r="N13" s="22">
        <f>IF(J13="","",IFERROR(INDEX('В07 Каталог'!$C$5:$C$19,MATCH(J13,'В07 Каталог'!$B$5:$B$19,0)),""))</f>
        <v/>
      </c>
      <c r="O13" s="21" t="n"/>
    </row>
    <row r="14">
      <c r="A14" s="15" t="n">
        <v>10</v>
      </c>
      <c r="B14" s="11" t="n"/>
      <c r="C14" s="11" t="n"/>
      <c r="D14" s="21" t="n"/>
      <c r="E14" s="11" t="n"/>
      <c r="F14" s="21" t="n"/>
      <c r="G14" s="21" t="n"/>
      <c r="H14" s="11" t="n"/>
      <c r="I14" s="21" t="n"/>
      <c r="J14" s="11" t="n"/>
      <c r="K14" s="11" t="n"/>
      <c r="L14" s="15">
        <f>IF(I14&lt;&gt;"Так","",IF(J14="","Оберіть захід",IF(K14="","Вкажіть, де в мережі",IF(D14="","Оберіть літеру STRIDE",IF(F14="","Вкажіть природу",IF(AND(INDEX('В07 Каталог'!$C$5:$C$19,MATCH(J14,'В07 Каталог'!$B$5:$B$19,0))="Лабораторна",F14="фізична",INDEX('В07 Каталог'!$A$5:$A$19,MATCH(J14,'В07 Каталог'!$B$5:$B$19,0))&lt;&gt;"L10"),"Мережевий захід не закриває фізичну загрозу",IF(AND(INDEX('В07 Каталог'!$C$5:$C$19,MATCH(J14,'В07 Каталог'!$B$5:$B$19,0))="Лабораторна",ISERROR(SEARCH(LEFT(D14,1),INDEX('В07 Каталог'!$D$5:$D$19,MATCH(J14,'В07 Каталог'!$B$5:$B$19,0))))),"Захід не діє на цей тип загрози",IF(AND(INDEX('В07 Каталог'!$C$5:$C$19,MATCH(J14,'В07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IF(J14="","",IFERROR(INDEX('В07 Каталог'!$E$5:$E$19,MATCH(J14,'В07 Каталог'!$B$5:$B$19,0)),""))</f>
        <v/>
      </c>
      <c r="N14" s="22">
        <f>IF(J14="","",IFERROR(INDEX('В07 Каталог'!$C$5:$C$19,MATCH(J14,'В07 Каталог'!$B$5:$B$19,0)),""))</f>
        <v/>
      </c>
      <c r="O14" s="21" t="n"/>
    </row>
    <row r="15">
      <c r="A15" s="15" t="n">
        <v>11</v>
      </c>
      <c r="B15" s="11" t="n"/>
      <c r="C15" s="11" t="n"/>
      <c r="D15" s="21" t="n"/>
      <c r="E15" s="11" t="n"/>
      <c r="F15" s="21" t="n"/>
      <c r="G15" s="21" t="n"/>
      <c r="H15" s="11" t="n"/>
      <c r="I15" s="21" t="n"/>
      <c r="J15" s="11" t="n"/>
      <c r="K15" s="11" t="n"/>
      <c r="L15" s="15">
        <f>IF(I15&lt;&gt;"Так","",IF(J15="","Оберіть захід",IF(K15="","Вкажіть, де в мережі",IF(D15="","Оберіть літеру STRIDE",IF(F15="","Вкажіть природу",IF(AND(INDEX('В07 Каталог'!$C$5:$C$19,MATCH(J15,'В07 Каталог'!$B$5:$B$19,0))="Лабораторна",F15="фізична",INDEX('В07 Каталог'!$A$5:$A$19,MATCH(J15,'В07 Каталог'!$B$5:$B$19,0))&lt;&gt;"L10"),"Мережевий захід не закриває фізичну загрозу",IF(AND(INDEX('В07 Каталог'!$C$5:$C$19,MATCH(J15,'В07 Каталог'!$B$5:$B$19,0))="Лабораторна",ISERROR(SEARCH(LEFT(D15,1),INDEX('В07 Каталог'!$D$5:$D$19,MATCH(J15,'В07 Каталог'!$B$5:$B$19,0))))),"Захід не діє на цей тип загрози",IF(AND(INDEX('В07 Каталог'!$C$5:$C$19,MATCH(J15,'В07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IF(J15="","",IFERROR(INDEX('В07 Каталог'!$E$5:$E$19,MATCH(J15,'В07 Каталог'!$B$5:$B$19,0)),""))</f>
        <v/>
      </c>
      <c r="N15" s="22">
        <f>IF(J15="","",IFERROR(INDEX('В07 Каталог'!$C$5:$C$19,MATCH(J15,'В07 Каталог'!$B$5:$B$19,0)),""))</f>
        <v/>
      </c>
      <c r="O15" s="21" t="n"/>
    </row>
    <row r="16">
      <c r="A16" s="15" t="n">
        <v>12</v>
      </c>
      <c r="B16" s="11" t="n"/>
      <c r="C16" s="11" t="n"/>
      <c r="D16" s="21" t="n"/>
      <c r="E16" s="11" t="n"/>
      <c r="F16" s="21" t="n"/>
      <c r="G16" s="21" t="n"/>
      <c r="H16" s="11" t="n"/>
      <c r="I16" s="21" t="n"/>
      <c r="J16" s="11" t="n"/>
      <c r="K16" s="11" t="n"/>
      <c r="L16" s="15">
        <f>IF(I16&lt;&gt;"Так","",IF(J16="","Оберіть захід",IF(K16="","Вкажіть, де в мережі",IF(D16="","Оберіть літеру STRIDE",IF(F16="","Вкажіть природу",IF(AND(INDEX('В07 Каталог'!$C$5:$C$19,MATCH(J16,'В07 Каталог'!$B$5:$B$19,0))="Лабораторна",F16="фізична",INDEX('В07 Каталог'!$A$5:$A$19,MATCH(J16,'В07 Каталог'!$B$5:$B$19,0))&lt;&gt;"L10"),"Мережевий захід не закриває фізичну загрозу",IF(AND(INDEX('В07 Каталог'!$C$5:$C$19,MATCH(J16,'В07 Каталог'!$B$5:$B$19,0))="Лабораторна",ISERROR(SEARCH(LEFT(D16,1),INDEX('В07 Каталог'!$D$5:$D$19,MATCH(J16,'В07 Каталог'!$B$5:$B$19,0))))),"Захід не діє на цей тип загрози",IF(AND(INDEX('В07 Каталог'!$C$5:$C$19,MATCH(J16,'В07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IF(J16="","",IFERROR(INDEX('В07 Каталог'!$E$5:$E$19,MATCH(J16,'В07 Каталог'!$B$5:$B$19,0)),""))</f>
        <v/>
      </c>
      <c r="N16" s="22">
        <f>IF(J16="","",IFERROR(INDEX('В07 Каталог'!$C$5:$C$19,MATCH(J16,'В07 Каталог'!$B$5:$B$19,0)),""))</f>
        <v/>
      </c>
      <c r="O16" s="21" t="n"/>
    </row>
    <row r="17">
      <c r="A17" s="15" t="n">
        <v>13</v>
      </c>
      <c r="B17" s="11" t="n"/>
      <c r="C17" s="11" t="n"/>
      <c r="D17" s="21" t="n"/>
      <c r="E17" s="11" t="n"/>
      <c r="F17" s="21" t="n"/>
      <c r="G17" s="21" t="n"/>
      <c r="H17" s="11" t="n"/>
      <c r="I17" s="21" t="n"/>
      <c r="J17" s="11" t="n"/>
      <c r="K17" s="11" t="n"/>
      <c r="L17" s="15">
        <f>IF(I17&lt;&gt;"Так","",IF(J17="","Оберіть захід",IF(K17="","Вкажіть, де в мережі",IF(D17="","Оберіть літеру STRIDE",IF(F17="","Вкажіть природу",IF(AND(INDEX('В07 Каталог'!$C$5:$C$19,MATCH(J17,'В07 Каталог'!$B$5:$B$19,0))="Лабораторна",F17="фізична",INDEX('В07 Каталог'!$A$5:$A$19,MATCH(J17,'В07 Каталог'!$B$5:$B$19,0))&lt;&gt;"L10"),"Мережевий захід не закриває фізичну загрозу",IF(AND(INDEX('В07 Каталог'!$C$5:$C$19,MATCH(J17,'В07 Каталог'!$B$5:$B$19,0))="Лабораторна",ISERROR(SEARCH(LEFT(D17,1),INDEX('В07 Каталог'!$D$5:$D$19,MATCH(J17,'В07 Каталог'!$B$5:$B$19,0))))),"Захід не діє на цей тип загрози",IF(AND(INDEX('В07 Каталог'!$C$5:$C$19,MATCH(J17,'В07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IF(J17="","",IFERROR(INDEX('В07 Каталог'!$E$5:$E$19,MATCH(J17,'В07 Каталог'!$B$5:$B$19,0)),""))</f>
        <v/>
      </c>
      <c r="N17" s="22">
        <f>IF(J17="","",IFERROR(INDEX('В07 Каталог'!$C$5:$C$19,MATCH(J17,'В07 Каталог'!$B$5:$B$19,0)),""))</f>
        <v/>
      </c>
      <c r="O17" s="21" t="n"/>
    </row>
    <row r="18">
      <c r="A18" s="15" t="n">
        <v>14</v>
      </c>
      <c r="B18" s="11" t="n"/>
      <c r="C18" s="11" t="n"/>
      <c r="D18" s="21" t="n"/>
      <c r="E18" s="11" t="n"/>
      <c r="F18" s="21" t="n"/>
      <c r="G18" s="21" t="n"/>
      <c r="H18" s="11" t="n"/>
      <c r="I18" s="21" t="n"/>
      <c r="J18" s="11" t="n"/>
      <c r="K18" s="11" t="n"/>
      <c r="L18" s="15">
        <f>IF(I18&lt;&gt;"Так","",IF(J18="","Оберіть захід",IF(K18="","Вкажіть, де в мережі",IF(D18="","Оберіть літеру STRIDE",IF(F18="","Вкажіть природу",IF(AND(INDEX('В07 Каталог'!$C$5:$C$19,MATCH(J18,'В07 Каталог'!$B$5:$B$19,0))="Лабораторна",F18="фізична",INDEX('В07 Каталог'!$A$5:$A$19,MATCH(J18,'В07 Каталог'!$B$5:$B$19,0))&lt;&gt;"L10"),"Мережевий захід не закриває фізичну загрозу",IF(AND(INDEX('В07 Каталог'!$C$5:$C$19,MATCH(J18,'В07 Каталог'!$B$5:$B$19,0))="Лабораторна",ISERROR(SEARCH(LEFT(D18,1),INDEX('В07 Каталог'!$D$5:$D$19,MATCH(J18,'В07 Каталог'!$B$5:$B$19,0))))),"Захід не діє на цей тип загрози",IF(AND(INDEX('В07 Каталог'!$C$5:$C$19,MATCH(J18,'В07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IF(J18="","",IFERROR(INDEX('В07 Каталог'!$E$5:$E$19,MATCH(J18,'В07 Каталог'!$B$5:$B$19,0)),""))</f>
        <v/>
      </c>
      <c r="N18" s="22">
        <f>IF(J18="","",IFERROR(INDEX('В07 Каталог'!$C$5:$C$19,MATCH(J18,'В07 Каталог'!$B$5:$B$19,0)),""))</f>
        <v/>
      </c>
      <c r="O18" s="21" t="n"/>
    </row>
    <row r="19">
      <c r="A19" s="15" t="n">
        <v>15</v>
      </c>
      <c r="B19" s="11" t="n"/>
      <c r="C19" s="11" t="n"/>
      <c r="D19" s="21" t="n"/>
      <c r="E19" s="11" t="n"/>
      <c r="F19" s="21" t="n"/>
      <c r="G19" s="21" t="n"/>
      <c r="H19" s="11" t="n"/>
      <c r="I19" s="21" t="n"/>
      <c r="J19" s="11" t="n"/>
      <c r="K19" s="11" t="n"/>
      <c r="L19" s="15">
        <f>IF(I19&lt;&gt;"Так","",IF(J19="","Оберіть захід",IF(K19="","Вкажіть, де в мережі",IF(D19="","Оберіть літеру STRIDE",IF(F19="","Вкажіть природу",IF(AND(INDEX('В07 Каталог'!$C$5:$C$19,MATCH(J19,'В07 Каталог'!$B$5:$B$19,0))="Лабораторна",F19="фізична",INDEX('В07 Каталог'!$A$5:$A$19,MATCH(J19,'В07 Каталог'!$B$5:$B$19,0))&lt;&gt;"L10"),"Мережевий захід не закриває фізичну загрозу",IF(AND(INDEX('В07 Каталог'!$C$5:$C$19,MATCH(J19,'В07 Каталог'!$B$5:$B$19,0))="Лабораторна",ISERROR(SEARCH(LEFT(D19,1),INDEX('В07 Каталог'!$D$5:$D$19,MATCH(J19,'В07 Каталог'!$B$5:$B$19,0))))),"Захід не діє на цей тип загрози",IF(AND(INDEX('В07 Каталог'!$C$5:$C$19,MATCH(J19,'В07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IF(J19="","",IFERROR(INDEX('В07 Каталог'!$E$5:$E$19,MATCH(J19,'В07 Каталог'!$B$5:$B$19,0)),""))</f>
        <v/>
      </c>
      <c r="N19" s="22">
        <f>IF(J19="","",IFERROR(INDEX('В07 Каталог'!$C$5:$C$19,MATCH(J19,'В07 Каталог'!$B$5:$B$19,0)),""))</f>
        <v/>
      </c>
      <c r="O19" s="21" t="n"/>
    </row>
    <row r="20">
      <c r="A20" s="15" t="n">
        <v>16</v>
      </c>
      <c r="B20" s="11" t="n"/>
      <c r="C20" s="11" t="n"/>
      <c r="D20" s="21" t="n"/>
      <c r="E20" s="11" t="n"/>
      <c r="F20" s="21" t="n"/>
      <c r="G20" s="21" t="n"/>
      <c r="H20" s="11" t="n"/>
      <c r="I20" s="21" t="n"/>
      <c r="J20" s="11" t="n"/>
      <c r="K20" s="11" t="n"/>
      <c r="L20" s="15">
        <f>IF(I20&lt;&gt;"Так","",IF(J20="","Оберіть захід",IF(K20="","Вкажіть, де в мережі",IF(D20="","Оберіть літеру STRIDE",IF(F20="","Вкажіть природу",IF(AND(INDEX('В07 Каталог'!$C$5:$C$19,MATCH(J20,'В07 Каталог'!$B$5:$B$19,0))="Лабораторна",F20="фізична",INDEX('В07 Каталог'!$A$5:$A$19,MATCH(J20,'В07 Каталог'!$B$5:$B$19,0))&lt;&gt;"L10"),"Мережевий захід не закриває фізичну загрозу",IF(AND(INDEX('В07 Каталог'!$C$5:$C$19,MATCH(J20,'В07 Каталог'!$B$5:$B$19,0))="Лабораторна",ISERROR(SEARCH(LEFT(D20,1),INDEX('В07 Каталог'!$D$5:$D$19,MATCH(J20,'В07 Каталог'!$B$5:$B$19,0))))),"Захід не діє на цей тип загрози",IF(AND(INDEX('В07 Каталог'!$C$5:$C$19,MATCH(J20,'В07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IF(J20="","",IFERROR(INDEX('В07 Каталог'!$E$5:$E$19,MATCH(J20,'В07 Каталог'!$B$5:$B$19,0)),""))</f>
        <v/>
      </c>
      <c r="N20" s="22">
        <f>IF(J20="","",IFERROR(INDEX('В07 Каталог'!$C$5:$C$19,MATCH(J20,'В07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природу",IF(AND(INDEX('В07 Каталог'!$C$5:$C$19,MATCH(J21,'В07 Каталог'!$B$5:$B$19,0))="Лабораторна",F21="фізична",INDEX('В07 Каталог'!$A$5:$A$19,MATCH(J21,'В07 Каталог'!$B$5:$B$19,0))&lt;&gt;"L10"),"Мережевий захід не закриває фізичну загрозу",IF(AND(INDEX('В07 Каталог'!$C$5:$C$19,MATCH(J21,'В07 Каталог'!$B$5:$B$19,0))="Лабораторна",ISERROR(SEARCH(LEFT(D21,1),INDEX('В07 Каталог'!$D$5:$D$19,MATCH(J21,'В07 Каталог'!$B$5:$B$19,0))))),"Захід не діє на цей тип загрози",IF(AND(INDEX('В07 Каталог'!$C$5:$C$19,MATCH(J21,'В07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IF(J21="","",IFERROR(INDEX('В07 Каталог'!$E$5:$E$19,MATCH(J21,'В07 Каталог'!$B$5:$B$19,0)),""))</f>
        <v/>
      </c>
      <c r="N21" s="22">
        <f>IF(J21="","",IFERROR(INDEX('В07 Каталог'!$C$5:$C$19,MATCH(J21,'В07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природу",IF(AND(INDEX('В07 Каталог'!$C$5:$C$19,MATCH(J22,'В07 Каталог'!$B$5:$B$19,0))="Лабораторна",F22="фізична",INDEX('В07 Каталог'!$A$5:$A$19,MATCH(J22,'В07 Каталог'!$B$5:$B$19,0))&lt;&gt;"L10"),"Мережевий захід не закриває фізичну загрозу",IF(AND(INDEX('В07 Каталог'!$C$5:$C$19,MATCH(J22,'В07 Каталог'!$B$5:$B$19,0))="Лабораторна",ISERROR(SEARCH(LEFT(D22,1),INDEX('В07 Каталог'!$D$5:$D$19,MATCH(J22,'В07 Каталог'!$B$5:$B$19,0))))),"Захід не діє на цей тип загрози",IF(AND(INDEX('В07 Каталог'!$C$5:$C$19,MATCH(J22,'В07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IF(J22="","",IFERROR(INDEX('В07 Каталог'!$E$5:$E$19,MATCH(J22,'В07 Каталог'!$B$5:$B$19,0)),""))</f>
        <v/>
      </c>
      <c r="N22" s="22">
        <f>IF(J22="","",IFERROR(INDEX('В07 Каталог'!$C$5:$C$19,MATCH(J22,'В07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природу",IF(AND(INDEX('В07 Каталог'!$C$5:$C$19,MATCH(J23,'В07 Каталог'!$B$5:$B$19,0))="Лабораторна",F23="фізична",INDEX('В07 Каталог'!$A$5:$A$19,MATCH(J23,'В07 Каталог'!$B$5:$B$19,0))&lt;&gt;"L10"),"Мережевий захід не закриває фізичну загрозу",IF(AND(INDEX('В07 Каталог'!$C$5:$C$19,MATCH(J23,'В07 Каталог'!$B$5:$B$19,0))="Лабораторна",ISERROR(SEARCH(LEFT(D23,1),INDEX('В07 Каталог'!$D$5:$D$19,MATCH(J23,'В07 Каталог'!$B$5:$B$19,0))))),"Захід не діє на цей тип загрози",IF(AND(INDEX('В07 Каталог'!$C$5:$C$19,MATCH(J23,'В07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IF(J23="","",IFERROR(INDEX('В07 Каталог'!$E$5:$E$19,MATCH(J23,'В07 Каталог'!$B$5:$B$19,0)),""))</f>
        <v/>
      </c>
      <c r="N23" s="22">
        <f>IF(J23="","",IFERROR(INDEX('В07 Каталог'!$C$5:$C$19,MATCH(J23,'В07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природу",IF(AND(INDEX('В07 Каталог'!$C$5:$C$19,MATCH(J24,'В07 Каталог'!$B$5:$B$19,0))="Лабораторна",F24="фізична",INDEX('В07 Каталог'!$A$5:$A$19,MATCH(J24,'В07 Каталог'!$B$5:$B$19,0))&lt;&gt;"L10"),"Мережевий захід не закриває фізичну загрозу",IF(AND(INDEX('В07 Каталог'!$C$5:$C$19,MATCH(J24,'В07 Каталог'!$B$5:$B$19,0))="Лабораторна",ISERROR(SEARCH(LEFT(D24,1),INDEX('В07 Каталог'!$D$5:$D$19,MATCH(J24,'В07 Каталог'!$B$5:$B$19,0))))),"Захід не діє на цей тип загрози",IF(AND(INDEX('В07 Каталог'!$C$5:$C$19,MATCH(J24,'В07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IF(J24="","",IFERROR(INDEX('В07 Каталог'!$E$5:$E$19,MATCH(J24,'В07 Каталог'!$B$5:$B$19,0)),""))</f>
        <v/>
      </c>
      <c r="N24" s="22">
        <f>IF(J24="","",IFERROR(INDEX('В07 Каталог'!$C$5:$C$19,MATCH(J24,'В07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природу",IF(AND(INDEX('В07 Каталог'!$C$5:$C$19,MATCH(J25,'В07 Каталог'!$B$5:$B$19,0))="Лабораторна",F25="фізична",INDEX('В07 Каталог'!$A$5:$A$19,MATCH(J25,'В07 Каталог'!$B$5:$B$19,0))&lt;&gt;"L10"),"Мережевий захід не закриває фізичну загрозу",IF(AND(INDEX('В07 Каталог'!$C$5:$C$19,MATCH(J25,'В07 Каталог'!$B$5:$B$19,0))="Лабораторна",ISERROR(SEARCH(LEFT(D25,1),INDEX('В07 Каталог'!$D$5:$D$19,MATCH(J25,'В07 Каталог'!$B$5:$B$19,0))))),"Захід не діє на цей тип загрози",IF(AND(INDEX('В07 Каталог'!$C$5:$C$19,MATCH(J25,'В07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IF(J25="","",IFERROR(INDEX('В07 Каталог'!$E$5:$E$19,MATCH(J25,'В07 Каталог'!$B$5:$B$19,0)),""))</f>
        <v/>
      </c>
      <c r="N25" s="22">
        <f>IF(J25="","",IFERROR(INDEX('В07 Каталог'!$C$5:$C$19,MATCH(J25,'В07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природу",IF(AND(INDEX('В07 Каталог'!$C$5:$C$19,MATCH(J26,'В07 Каталог'!$B$5:$B$19,0))="Лабораторна",F26="фізична",INDEX('В07 Каталог'!$A$5:$A$19,MATCH(J26,'В07 Каталог'!$B$5:$B$19,0))&lt;&gt;"L10"),"Мережевий захід не закриває фізичну загрозу",IF(AND(INDEX('В07 Каталог'!$C$5:$C$19,MATCH(J26,'В07 Каталог'!$B$5:$B$19,0))="Лабораторна",ISERROR(SEARCH(LEFT(D26,1),INDEX('В07 Каталог'!$D$5:$D$19,MATCH(J26,'В07 Каталог'!$B$5:$B$19,0))))),"Захід не діє на цей тип загрози",IF(AND(INDEX('В07 Каталог'!$C$5:$C$19,MATCH(J26,'В07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IF(J26="","",IFERROR(INDEX('В07 Каталог'!$E$5:$E$19,MATCH(J26,'В07 Каталог'!$B$5:$B$19,0)),""))</f>
        <v/>
      </c>
      <c r="N26" s="22">
        <f>IF(J26="","",IFERROR(INDEX('В07 Каталог'!$C$5:$C$19,MATCH(J26,'В07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природу",IF(AND(INDEX('В07 Каталог'!$C$5:$C$19,MATCH(J27,'В07 Каталог'!$B$5:$B$19,0))="Лабораторна",F27="фізична",INDEX('В07 Каталог'!$A$5:$A$19,MATCH(J27,'В07 Каталог'!$B$5:$B$19,0))&lt;&gt;"L10"),"Мережевий захід не закриває фізичну загрозу",IF(AND(INDEX('В07 Каталог'!$C$5:$C$19,MATCH(J27,'В07 Каталог'!$B$5:$B$19,0))="Лабораторна",ISERROR(SEARCH(LEFT(D27,1),INDEX('В07 Каталог'!$D$5:$D$19,MATCH(J27,'В07 Каталог'!$B$5:$B$19,0))))),"Захід не діє на цей тип загрози",IF(AND(INDEX('В07 Каталог'!$C$5:$C$19,MATCH(J27,'В07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IF(J27="","",IFERROR(INDEX('В07 Каталог'!$E$5:$E$19,MATCH(J27,'В07 Каталог'!$B$5:$B$19,0)),""))</f>
        <v/>
      </c>
      <c r="N27" s="22">
        <f>IF(J27="","",IFERROR(INDEX('В07 Каталог'!$C$5:$C$19,MATCH(J27,'В07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природу",IF(AND(INDEX('В07 Каталог'!$C$5:$C$19,MATCH(J28,'В07 Каталог'!$B$5:$B$19,0))="Лабораторна",F28="фізична",INDEX('В07 Каталог'!$A$5:$A$19,MATCH(J28,'В07 Каталог'!$B$5:$B$19,0))&lt;&gt;"L10"),"Мережевий захід не закриває фізичну загрозу",IF(AND(INDEX('В07 Каталог'!$C$5:$C$19,MATCH(J28,'В07 Каталог'!$B$5:$B$19,0))="Лабораторна",ISERROR(SEARCH(LEFT(D28,1),INDEX('В07 Каталог'!$D$5:$D$19,MATCH(J28,'В07 Каталог'!$B$5:$B$19,0))))),"Захід не діє на цей тип загрози",IF(AND(INDEX('В07 Каталог'!$C$5:$C$19,MATCH(J28,'В07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IF(J28="","",IFERROR(INDEX('В07 Каталог'!$E$5:$E$19,MATCH(J28,'В07 Каталог'!$B$5:$B$19,0)),""))</f>
        <v/>
      </c>
      <c r="N28" s="22">
        <f>IF(J28="","",IFERROR(INDEX('В07 Каталог'!$C$5:$C$19,MATCH(J28,'В07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природу",IF(AND(INDEX('В07 Каталог'!$C$5:$C$19,MATCH(J29,'В07 Каталог'!$B$5:$B$19,0))="Лабораторна",F29="фізична",INDEX('В07 Каталог'!$A$5:$A$19,MATCH(J29,'В07 Каталог'!$B$5:$B$19,0))&lt;&gt;"L10"),"Мережевий захід не закриває фізичну загрозу",IF(AND(INDEX('В07 Каталог'!$C$5:$C$19,MATCH(J29,'В07 Каталог'!$B$5:$B$19,0))="Лабораторна",ISERROR(SEARCH(LEFT(D29,1),INDEX('В07 Каталог'!$D$5:$D$19,MATCH(J29,'В07 Каталог'!$B$5:$B$19,0))))),"Захід не діє на цей тип загрози",IF(AND(INDEX('В07 Каталог'!$C$5:$C$19,MATCH(J29,'В07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IF(J29="","",IFERROR(INDEX('В07 Каталог'!$E$5:$E$19,MATCH(J29,'В07 Каталог'!$B$5:$B$19,0)),""))</f>
        <v/>
      </c>
      <c r="N29" s="22">
        <f>IF(J29="","",IFERROR(INDEX('В07 Каталог'!$C$5:$C$19,MATCH(J29,'В07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природу",IF(AND(INDEX('В07 Каталог'!$C$5:$C$19,MATCH(J30,'В07 Каталог'!$B$5:$B$19,0))="Лабораторна",F30="фізична",INDEX('В07 Каталог'!$A$5:$A$19,MATCH(J30,'В07 Каталог'!$B$5:$B$19,0))&lt;&gt;"L10"),"Мережевий захід не закриває фізичну загрозу",IF(AND(INDEX('В07 Каталог'!$C$5:$C$19,MATCH(J30,'В07 Каталог'!$B$5:$B$19,0))="Лабораторна",ISERROR(SEARCH(LEFT(D30,1),INDEX('В07 Каталог'!$D$5:$D$19,MATCH(J30,'В07 Каталог'!$B$5:$B$19,0))))),"Захід не діє на цей тип загрози",IF(AND(INDEX('В07 Каталог'!$C$5:$C$19,MATCH(J30,'В07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IF(J30="","",IFERROR(INDEX('В07 Каталог'!$E$5:$E$19,MATCH(J30,'В07 Каталог'!$B$5:$B$19,0)),""))</f>
        <v/>
      </c>
      <c r="N30" s="22">
        <f>IF(J30="","",IFERROR(INDEX('В07 Каталог'!$C$5:$C$19,MATCH(J30,'В07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природу",IF(AND(INDEX('В07 Каталог'!$C$5:$C$19,MATCH(J31,'В07 Каталог'!$B$5:$B$19,0))="Лабораторна",F31="фізична",INDEX('В07 Каталог'!$A$5:$A$19,MATCH(J31,'В07 Каталог'!$B$5:$B$19,0))&lt;&gt;"L10"),"Мережевий захід не закриває фізичну загрозу",IF(AND(INDEX('В07 Каталог'!$C$5:$C$19,MATCH(J31,'В07 Каталог'!$B$5:$B$19,0))="Лабораторна",ISERROR(SEARCH(LEFT(D31,1),INDEX('В07 Каталог'!$D$5:$D$19,MATCH(J31,'В07 Каталог'!$B$5:$B$19,0))))),"Захід не діє на цей тип загрози",IF(AND(INDEX('В07 Каталог'!$C$5:$C$19,MATCH(J31,'В07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IF(J31="","",IFERROR(INDEX('В07 Каталог'!$E$5:$E$19,MATCH(J31,'В07 Каталог'!$B$5:$B$19,0)),""))</f>
        <v/>
      </c>
      <c r="N31" s="22">
        <f>IF(J31="","",IFERROR(INDEX('В07 Каталог'!$C$5:$C$19,MATCH(J31,'В07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природу",IF(AND(INDEX('В07 Каталог'!$C$5:$C$19,MATCH(J32,'В07 Каталог'!$B$5:$B$19,0))="Лабораторна",F32="фізична",INDEX('В07 Каталог'!$A$5:$A$19,MATCH(J32,'В07 Каталог'!$B$5:$B$19,0))&lt;&gt;"L10"),"Мережевий захід не закриває фізичну загрозу",IF(AND(INDEX('В07 Каталог'!$C$5:$C$19,MATCH(J32,'В07 Каталог'!$B$5:$B$19,0))="Лабораторна",ISERROR(SEARCH(LEFT(D32,1),INDEX('В07 Каталог'!$D$5:$D$19,MATCH(J32,'В07 Каталог'!$B$5:$B$19,0))))),"Захід не діє на цей тип загрози",IF(AND(INDEX('В07 Каталог'!$C$5:$C$19,MATCH(J32,'В07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IF(J32="","",IFERROR(INDEX('В07 Каталог'!$E$5:$E$19,MATCH(J32,'В07 Каталог'!$B$5:$B$19,0)),""))</f>
        <v/>
      </c>
      <c r="N32" s="22">
        <f>IF(J32="","",IFERROR(INDEX('В07 Каталог'!$C$5:$C$19,MATCH(J32,'В07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природу",IF(AND(INDEX('В07 Каталог'!$C$5:$C$19,MATCH(J33,'В07 Каталог'!$B$5:$B$19,0))="Лабораторна",F33="фізична",INDEX('В07 Каталог'!$A$5:$A$19,MATCH(J33,'В07 Каталог'!$B$5:$B$19,0))&lt;&gt;"L10"),"Мережевий захід не закриває фізичну загрозу",IF(AND(INDEX('В07 Каталог'!$C$5:$C$19,MATCH(J33,'В07 Каталог'!$B$5:$B$19,0))="Лабораторна",ISERROR(SEARCH(LEFT(D33,1),INDEX('В07 Каталог'!$D$5:$D$19,MATCH(J33,'В07 Каталог'!$B$5:$B$19,0))))),"Захід не діє на цей тип загрози",IF(AND(INDEX('В07 Каталог'!$C$5:$C$19,MATCH(J33,'В07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IF(J33="","",IFERROR(INDEX('В07 Каталог'!$E$5:$E$19,MATCH(J33,'В07 Каталог'!$B$5:$B$19,0)),""))</f>
        <v/>
      </c>
      <c r="N33" s="22">
        <f>IF(J33="","",IFERROR(INDEX('В07 Каталог'!$C$5:$C$19,MATCH(J33,'В07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природу",IF(AND(INDEX('В07 Каталог'!$C$5:$C$19,MATCH(J34,'В07 Каталог'!$B$5:$B$19,0))="Лабораторна",F34="фізична",INDEX('В07 Каталог'!$A$5:$A$19,MATCH(J34,'В07 Каталог'!$B$5:$B$19,0))&lt;&gt;"L10"),"Мережевий захід не закриває фізичну загрозу",IF(AND(INDEX('В07 Каталог'!$C$5:$C$19,MATCH(J34,'В07 Каталог'!$B$5:$B$19,0))="Лабораторна",ISERROR(SEARCH(LEFT(D34,1),INDEX('В07 Каталог'!$D$5:$D$19,MATCH(J34,'В07 Каталог'!$B$5:$B$19,0))))),"Захід не діє на цей тип загрози",IF(AND(INDEX('В07 Каталог'!$C$5:$C$19,MATCH(J34,'В07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IF(J34="","",IFERROR(INDEX('В07 Каталог'!$E$5:$E$19,MATCH(J34,'В07 Каталог'!$B$5:$B$19,0)),""))</f>
        <v/>
      </c>
      <c r="N34" s="22">
        <f>IF(J34="","",IFERROR(INDEX('В07 Каталог'!$C$5:$C$19,MATCH(J34,'В07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='В07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='В07 Каталог'!$B$5:$B$19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833C0B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2"/>
    <row r="3"/>
    <row r="4">
      <c r="A4" s="23" t="inlineStr">
        <is>
          <t>Загроз у таблиці</t>
        </is>
      </c>
      <c r="B4" s="24">
        <f>COUNTA('В07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COUNTIF('В07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COUNTIF('В07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COUNTIF('В07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COUNTIF('В07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COUNTIF('В07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COUNTIF('В07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COUNTIF('В07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COUNTIF('В07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COUNTIF('В07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COUNTIF('В07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COUNTIF('В07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COUNTIF('В07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COUNTIF('В07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SUMPRODUCT(('В07 Загрози і заходи'!I5:I34="Так")*('В07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COUNTIFS('В07 Загрози і заходи'!I5:I34,"Так",'В07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COUNTIF('В07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833C0B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3"/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n"/>
      <c r="B5" s="11" t="n"/>
      <c r="C5" s="11" t="n"/>
      <c r="D5" s="11" t="n"/>
    </row>
    <row r="6" ht="70" customHeight="1">
      <c r="A6" s="11" t="n"/>
      <c r="B6" s="11" t="n"/>
      <c r="C6" s="11" t="n"/>
      <c r="D6" s="11" t="n"/>
    </row>
    <row r="7" ht="70" customHeight="1">
      <c r="A7" s="11" t="n"/>
      <c r="B7" s="11" t="n"/>
      <c r="C7" s="11" t="n"/>
      <c r="D7" s="11" t="n"/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1"/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n"/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3A7D7B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08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3A7D7B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08</t>
        </is>
      </c>
    </row>
    <row r="2"/>
    <row r="3">
      <c r="A3" s="10" t="inlineStr">
        <is>
          <t>Студент (прізвище)</t>
        </is>
      </c>
      <c r="B3" s="11" t="n"/>
    </row>
    <row r="4">
      <c r="A4" s="10" t="inlineStr">
        <is>
          <t>Точка прийому</t>
        </is>
      </c>
      <c r="B4" s="12" t="inlineStr">
        <is>
          <t>стаціонарний POS-термінал на касі</t>
        </is>
      </c>
    </row>
    <row r="5">
      <c r="A5" s="10" t="inlineStr">
        <is>
          <t>Підключення точки до мережі</t>
        </is>
      </c>
      <c r="B5" s="12" t="inlineStr">
        <is>
          <t>Wi-Fi відділення</t>
        </is>
      </c>
    </row>
    <row r="6">
      <c r="A6" s="10" t="inlineStr">
        <is>
          <t>Зв'язок відділення зі шлюзом</t>
        </is>
      </c>
      <c r="B6" s="12" t="inlineStr">
        <is>
          <t>виділена лінія до головного офісу</t>
        </is>
      </c>
    </row>
    <row r="7">
      <c r="A7" s="10" t="inlineStr">
        <is>
          <t>Особливий учасник</t>
        </is>
      </c>
      <c r="B7" s="12" t="inlineStr">
        <is>
          <t>підрядник-інтегратор мережі й Wi-Fi: адміністрування Wi-Fi та комутаторів відділення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0"/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n"/>
      <c r="C13" s="15">
        <f>A13&amp;". "&amp;B13</f>
        <v/>
      </c>
    </row>
    <row r="14">
      <c r="A14" s="15" t="inlineStr">
        <is>
          <t>M2</t>
        </is>
      </c>
      <c r="B14" s="11" t="n"/>
      <c r="C14" s="15">
        <f>A14&amp;". "&amp;B14</f>
        <v/>
      </c>
    </row>
    <row r="15">
      <c r="A15" s="15" t="inlineStr">
        <is>
          <t>M3</t>
        </is>
      </c>
      <c r="B15" s="11" t="n"/>
      <c r="C15" s="15">
        <f>A15&amp;". "&amp;B15</f>
        <v/>
      </c>
    </row>
    <row r="16">
      <c r="A16" s="15" t="inlineStr">
        <is>
          <t>M4</t>
        </is>
      </c>
      <c r="B16" s="11" t="n"/>
      <c r="C16" s="15">
        <f>A16&amp;". "&amp;B16</f>
        <v/>
      </c>
    </row>
    <row r="17">
      <c r="A17" s="15" t="inlineStr">
        <is>
          <t>M5</t>
        </is>
      </c>
      <c r="B17" s="11" t="n"/>
      <c r="C17" s="15">
        <f>A17&amp;". "&amp;B17</f>
        <v/>
      </c>
    </row>
    <row r="18">
      <c r="A18" s="15" t="inlineStr">
        <is>
          <t>M6</t>
        </is>
      </c>
      <c r="B18" s="11" t="n"/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3A7D7B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3"/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3A7D7B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3"/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M4</t>
        </is>
      </c>
      <c r="C5" s="15" t="inlineStr">
        <is>
          <t>T — зміна даних</t>
        </is>
      </c>
      <c r="D5" s="15" t="inlineStr">
        <is>
          <t>Перехоплення платіжного трафіку в каналі: зловмисник читає передані дані</t>
        </is>
      </c>
      <c r="E5" s="15" t="inlineStr">
        <is>
          <t>мережева</t>
        </is>
      </c>
      <c r="F5" s="15" t="n">
        <v>3</v>
      </c>
      <c r="G5" s="15" t="inlineStr">
        <is>
          <t>ЛР7. IPsec VPN між відділенням і головним офісом</t>
        </is>
      </c>
    </row>
    <row r="6">
      <c r="A6" s="15" t="n">
        <v>2</v>
      </c>
      <c r="B6" s="15" t="inlineStr">
        <is>
          <t>M1</t>
        </is>
      </c>
      <c r="C6" s="15" t="inlineStr">
        <is>
          <t>T — зміна даних</t>
        </is>
      </c>
      <c r="D6" s="15" t="inlineStr">
        <is>
          <t>Скімер на POS-термінала на касі: копіює дані картки</t>
        </is>
      </c>
      <c r="E6" s="15" t="inlineStr">
        <is>
          <t>фізична</t>
        </is>
      </c>
      <c r="F6" s="15" t="n">
        <v>3</v>
      </c>
      <c r="G6" s="15" t="inlineStr">
        <is>
          <t>ЛР1. Сегментація VLAN і маршрутизація між ними</t>
        </is>
      </c>
    </row>
    <row r="7">
      <c r="A7" s="15" t="n">
        <v>3</v>
      </c>
      <c r="B7" s="15" t="inlineStr">
        <is>
          <t>M5</t>
        </is>
      </c>
      <c r="C7" s="15" t="inlineStr">
        <is>
          <t>R — відмова від дій</t>
        </is>
      </c>
      <c r="D7" s="15" t="inlineStr">
        <is>
          <t>Шлюз не зберігає журнал: після шахрайства неможливо відновити послідовність подій</t>
        </is>
      </c>
      <c r="E7" s="15" t="inlineStr">
        <is>
          <t>мережева</t>
        </is>
      </c>
      <c r="F7" s="15" t="n">
        <v>2</v>
      </c>
      <c r="G7" s="15" t="inlineStr">
        <is>
          <t>ЛР10. Syslog, NTP і моніторинг (лише виявляє)</t>
        </is>
      </c>
    </row>
    <row r="8">
      <c r="A8" s="15" t="n">
        <v>4</v>
      </c>
      <c r="B8" s="15" t="inlineStr">
        <is>
          <t>M1</t>
        </is>
      </c>
      <c r="C8" s="15" t="inlineStr">
        <is>
          <t>R — відмова від дій</t>
        </is>
      </c>
      <c r="D8" s="15" t="inlineStr">
        <is>
          <t>Клієнт заперечує операцію, а повного журналу з точним часом немає</t>
        </is>
      </c>
      <c r="E8" s="15" t="inlineStr">
        <is>
          <t>організаційна</t>
        </is>
      </c>
      <c r="F8" s="15" t="n">
        <v>2</v>
      </c>
      <c r="G8" s="15" t="inlineStr">
        <is>
          <t>ЛР10. Syslog, NTP і моніторинг (лише виявляє)</t>
        </is>
      </c>
    </row>
    <row r="9">
      <c r="A9" s="15" t="n">
        <v>5</v>
      </c>
      <c r="B9" s="15" t="inlineStr">
        <is>
          <t>M2</t>
        </is>
      </c>
      <c r="C9" s="15" t="inlineStr">
        <is>
          <t>S — підміна</t>
        </is>
      </c>
      <c r="D9" s="15" t="inlineStr">
        <is>
          <t>Чужий пристрій підключається до Wi-Fi відділення й видає себе за термінал</t>
        </is>
      </c>
      <c r="E9" s="15" t="inlineStr">
        <is>
          <t>мережева</t>
        </is>
      </c>
      <c r="F9" s="15" t="n">
        <v>3</v>
      </c>
      <c r="G9" s="15" t="inlineStr">
        <is>
          <t>ЛР8. Окремий VLAN для пристроїв і захищена Wi-Fi (WPA2)</t>
        </is>
      </c>
    </row>
    <row r="10">
      <c r="A10" s="15" t="n">
        <v>6</v>
      </c>
      <c r="B10" s="15" t="inlineStr">
        <is>
          <t>M3</t>
        </is>
      </c>
      <c r="C10" s="15" t="inlineStr">
        <is>
          <t>T — зміна даних</t>
        </is>
      </c>
      <c r="D10" s="15" t="inlineStr">
        <is>
          <t>Встановити IPsec VPN і міжмережевий екран між відділенням і шлюзом</t>
        </is>
      </c>
      <c r="E10" s="15" t="inlineStr">
        <is>
          <t>мережева</t>
        </is>
      </c>
      <c r="F10" s="15" t="n">
        <v>3</v>
      </c>
      <c r="G10" s="15" t="inlineStr">
        <is>
          <t>ЛР7. IPsec VPN між відділенням і головним офісом</t>
        </is>
      </c>
    </row>
    <row r="11">
      <c r="A11" s="15" t="n">
        <v>7</v>
      </c>
      <c r="B11" s="15" t="inlineStr">
        <is>
          <t>M5</t>
        </is>
      </c>
      <c r="C11" s="15" t="inlineStr">
        <is>
          <t>S — підміна</t>
        </is>
      </c>
      <c r="D11" s="15" t="inlineStr">
        <is>
          <t>Підроблений запит до АБС від зламаного шлюзу чи від ПК відділення</t>
        </is>
      </c>
      <c r="E11" s="15" t="inlineStr">
        <is>
          <t>мережева</t>
        </is>
      </c>
      <c r="F11" s="15" t="n">
        <v>3</v>
      </c>
      <c r="G11" s="15" t="inlineStr">
        <is>
          <t>ЛР5. Міжмережевий екран ASA: зони й NAT</t>
        </is>
      </c>
    </row>
    <row r="12"/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n"/>
      <c r="B15" s="11" t="n"/>
      <c r="C15" s="11" t="n"/>
      <c r="D15" s="19" t="n"/>
      <c r="E15" s="19" t="n"/>
      <c r="F15" s="19" t="n"/>
      <c r="G15" s="20" t="n"/>
    </row>
    <row r="16">
      <c r="A16" s="11" t="n"/>
      <c r="B16" s="11" t="n"/>
      <c r="C16" s="11" t="n"/>
      <c r="D16" s="19" t="n"/>
      <c r="E16" s="19" t="n"/>
      <c r="F16" s="19" t="n"/>
      <c r="G16" s="20" t="n"/>
    </row>
    <row r="17">
      <c r="A17" s="11" t="n"/>
      <c r="B17" s="11" t="n"/>
      <c r="C17" s="11" t="n"/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3A7D7B"/>
    <outlinePr summaryBelow="1" summaryRight="1"/>
    <pageSetUpPr/>
  </sheetPr>
  <dimension ref="A1:O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3"/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n"/>
      <c r="C5" s="11" t="n"/>
      <c r="D5" s="21" t="n"/>
      <c r="E5" s="11" t="n"/>
      <c r="F5" s="21" t="n"/>
      <c r="G5" s="21" t="n"/>
      <c r="H5" s="11" t="n"/>
      <c r="I5" s="21" t="n"/>
      <c r="J5" s="11" t="n"/>
      <c r="K5" s="11" t="n"/>
      <c r="L5" s="15">
        <f>IF(I5&lt;&gt;"Так","",IF(J5="","Оберіть захід",IF(K5="","Вкажіть, де в мережі",IF(D5="","Оберіть літеру STRIDE",IF(F5="","Вкажіть природу",IF(AND(INDEX('В08 Каталог'!$C$5:$C$19,MATCH(J5,'В08 Каталог'!$B$5:$B$19,0))="Лабораторна",F5="фізична",INDEX('В08 Каталог'!$A$5:$A$19,MATCH(J5,'В08 Каталог'!$B$5:$B$19,0))&lt;&gt;"L10"),"Мережевий захід не закриває фізичну загрозу",IF(AND(INDEX('В08 Каталог'!$C$5:$C$19,MATCH(J5,'В08 Каталог'!$B$5:$B$19,0))="Лабораторна",ISERROR(SEARCH(LEFT(D5,1),INDEX('В08 Каталог'!$D$5:$D$19,MATCH(J5,'В08 Каталог'!$B$5:$B$19,0))))),"Захід не діє на цей тип загрози",IF(AND(INDEX('В08 Каталог'!$C$5:$C$19,MATCH(J5,'В08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IF(J5="","",IFERROR(INDEX('В08 Каталог'!$E$5:$E$19,MATCH(J5,'В08 Каталог'!$B$5:$B$19,0)),""))</f>
        <v/>
      </c>
      <c r="N5" s="22">
        <f>IF(J5="","",IFERROR(INDEX('В08 Каталог'!$C$5:$C$19,MATCH(J5,'В08 Каталог'!$B$5:$B$19,0)),""))</f>
        <v/>
      </c>
      <c r="O5" s="21" t="n"/>
    </row>
    <row r="6">
      <c r="A6" s="15" t="n">
        <v>2</v>
      </c>
      <c r="B6" s="11" t="n"/>
      <c r="C6" s="11" t="n"/>
      <c r="D6" s="21" t="n"/>
      <c r="E6" s="11" t="n"/>
      <c r="F6" s="21" t="n"/>
      <c r="G6" s="21" t="n"/>
      <c r="H6" s="11" t="n"/>
      <c r="I6" s="21" t="n"/>
      <c r="J6" s="11" t="n"/>
      <c r="K6" s="11" t="n"/>
      <c r="L6" s="15">
        <f>IF(I6&lt;&gt;"Так","",IF(J6="","Оберіть захід",IF(K6="","Вкажіть, де в мережі",IF(D6="","Оберіть літеру STRIDE",IF(F6="","Вкажіть природу",IF(AND(INDEX('В08 Каталог'!$C$5:$C$19,MATCH(J6,'В08 Каталог'!$B$5:$B$19,0))="Лабораторна",F6="фізична",INDEX('В08 Каталог'!$A$5:$A$19,MATCH(J6,'В08 Каталог'!$B$5:$B$19,0))&lt;&gt;"L10"),"Мережевий захід не закриває фізичну загрозу",IF(AND(INDEX('В08 Каталог'!$C$5:$C$19,MATCH(J6,'В08 Каталог'!$B$5:$B$19,0))="Лабораторна",ISERROR(SEARCH(LEFT(D6,1),INDEX('В08 Каталог'!$D$5:$D$19,MATCH(J6,'В08 Каталог'!$B$5:$B$19,0))))),"Захід не діє на цей тип загрози",IF(AND(INDEX('В08 Каталог'!$C$5:$C$19,MATCH(J6,'В08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IF(J6="","",IFERROR(INDEX('В08 Каталог'!$E$5:$E$19,MATCH(J6,'В08 Каталог'!$B$5:$B$19,0)),""))</f>
        <v/>
      </c>
      <c r="N6" s="22">
        <f>IF(J6="","",IFERROR(INDEX('В08 Каталог'!$C$5:$C$19,MATCH(J6,'В08 Каталог'!$B$5:$B$19,0)),""))</f>
        <v/>
      </c>
      <c r="O6" s="21" t="n"/>
    </row>
    <row r="7">
      <c r="A7" s="15" t="n">
        <v>3</v>
      </c>
      <c r="B7" s="11" t="n"/>
      <c r="C7" s="11" t="n"/>
      <c r="D7" s="21" t="n"/>
      <c r="E7" s="11" t="n"/>
      <c r="F7" s="21" t="n"/>
      <c r="G7" s="21" t="n"/>
      <c r="H7" s="11" t="n"/>
      <c r="I7" s="21" t="n"/>
      <c r="J7" s="11" t="n"/>
      <c r="K7" s="11" t="n"/>
      <c r="L7" s="15">
        <f>IF(I7&lt;&gt;"Так","",IF(J7="","Оберіть захід",IF(K7="","Вкажіть, де в мережі",IF(D7="","Оберіть літеру STRIDE",IF(F7="","Вкажіть природу",IF(AND(INDEX('В08 Каталог'!$C$5:$C$19,MATCH(J7,'В08 Каталог'!$B$5:$B$19,0))="Лабораторна",F7="фізична",INDEX('В08 Каталог'!$A$5:$A$19,MATCH(J7,'В08 Каталог'!$B$5:$B$19,0))&lt;&gt;"L10"),"Мережевий захід не закриває фізичну загрозу",IF(AND(INDEX('В08 Каталог'!$C$5:$C$19,MATCH(J7,'В08 Каталог'!$B$5:$B$19,0))="Лабораторна",ISERROR(SEARCH(LEFT(D7,1),INDEX('В08 Каталог'!$D$5:$D$19,MATCH(J7,'В08 Каталог'!$B$5:$B$19,0))))),"Захід не діє на цей тип загрози",IF(AND(INDEX('В08 Каталог'!$C$5:$C$19,MATCH(J7,'В08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IF(J7="","",IFERROR(INDEX('В08 Каталог'!$E$5:$E$19,MATCH(J7,'В08 Каталог'!$B$5:$B$19,0)),""))</f>
        <v/>
      </c>
      <c r="N7" s="22">
        <f>IF(J7="","",IFERROR(INDEX('В08 Каталог'!$C$5:$C$19,MATCH(J7,'В08 Каталог'!$B$5:$B$19,0)),""))</f>
        <v/>
      </c>
      <c r="O7" s="21" t="n"/>
    </row>
    <row r="8">
      <c r="A8" s="15" t="n">
        <v>4</v>
      </c>
      <c r="B8" s="11" t="n"/>
      <c r="C8" s="11" t="n"/>
      <c r="D8" s="21" t="n"/>
      <c r="E8" s="11" t="n"/>
      <c r="F8" s="21" t="n"/>
      <c r="G8" s="21" t="n"/>
      <c r="H8" s="11" t="n"/>
      <c r="I8" s="21" t="n"/>
      <c r="J8" s="11" t="n"/>
      <c r="K8" s="11" t="n"/>
      <c r="L8" s="15">
        <f>IF(I8&lt;&gt;"Так","",IF(J8="","Оберіть захід",IF(K8="","Вкажіть, де в мережі",IF(D8="","Оберіть літеру STRIDE",IF(F8="","Вкажіть природу",IF(AND(INDEX('В08 Каталог'!$C$5:$C$19,MATCH(J8,'В08 Каталог'!$B$5:$B$19,0))="Лабораторна",F8="фізична",INDEX('В08 Каталог'!$A$5:$A$19,MATCH(J8,'В08 Каталог'!$B$5:$B$19,0))&lt;&gt;"L10"),"Мережевий захід не закриває фізичну загрозу",IF(AND(INDEX('В08 Каталог'!$C$5:$C$19,MATCH(J8,'В08 Каталог'!$B$5:$B$19,0))="Лабораторна",ISERROR(SEARCH(LEFT(D8,1),INDEX('В08 Каталог'!$D$5:$D$19,MATCH(J8,'В08 Каталог'!$B$5:$B$19,0))))),"Захід не діє на цей тип загрози",IF(AND(INDEX('В08 Каталог'!$C$5:$C$19,MATCH(J8,'В08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IF(J8="","",IFERROR(INDEX('В08 Каталог'!$E$5:$E$19,MATCH(J8,'В08 Каталог'!$B$5:$B$19,0)),""))</f>
        <v/>
      </c>
      <c r="N8" s="22">
        <f>IF(J8="","",IFERROR(INDEX('В08 Каталог'!$C$5:$C$19,MATCH(J8,'В08 Каталог'!$B$5:$B$19,0)),""))</f>
        <v/>
      </c>
      <c r="O8" s="21" t="n"/>
    </row>
    <row r="9">
      <c r="A9" s="15" t="n">
        <v>5</v>
      </c>
      <c r="B9" s="11" t="n"/>
      <c r="C9" s="11" t="n"/>
      <c r="D9" s="21" t="n"/>
      <c r="E9" s="11" t="n"/>
      <c r="F9" s="21" t="n"/>
      <c r="G9" s="21" t="n"/>
      <c r="H9" s="11" t="n"/>
      <c r="I9" s="21" t="n"/>
      <c r="J9" s="11" t="n"/>
      <c r="K9" s="11" t="n"/>
      <c r="L9" s="15">
        <f>IF(I9&lt;&gt;"Так","",IF(J9="","Оберіть захід",IF(K9="","Вкажіть, де в мережі",IF(D9="","Оберіть літеру STRIDE",IF(F9="","Вкажіть природу",IF(AND(INDEX('В08 Каталог'!$C$5:$C$19,MATCH(J9,'В08 Каталог'!$B$5:$B$19,0))="Лабораторна",F9="фізична",INDEX('В08 Каталог'!$A$5:$A$19,MATCH(J9,'В08 Каталог'!$B$5:$B$19,0))&lt;&gt;"L10"),"Мережевий захід не закриває фізичну загрозу",IF(AND(INDEX('В08 Каталог'!$C$5:$C$19,MATCH(J9,'В08 Каталог'!$B$5:$B$19,0))="Лабораторна",ISERROR(SEARCH(LEFT(D9,1),INDEX('В08 Каталог'!$D$5:$D$19,MATCH(J9,'В08 Каталог'!$B$5:$B$19,0))))),"Захід не діє на цей тип загрози",IF(AND(INDEX('В08 Каталог'!$C$5:$C$19,MATCH(J9,'В08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IF(J9="","",IFERROR(INDEX('В08 Каталог'!$E$5:$E$19,MATCH(J9,'В08 Каталог'!$B$5:$B$19,0)),""))</f>
        <v/>
      </c>
      <c r="N9" s="22">
        <f>IF(J9="","",IFERROR(INDEX('В08 Каталог'!$C$5:$C$19,MATCH(J9,'В08 Каталог'!$B$5:$B$19,0)),""))</f>
        <v/>
      </c>
      <c r="O9" s="21" t="n"/>
    </row>
    <row r="10">
      <c r="A10" s="15" t="n">
        <v>6</v>
      </c>
      <c r="B10" s="11" t="n"/>
      <c r="C10" s="11" t="n"/>
      <c r="D10" s="21" t="n"/>
      <c r="E10" s="11" t="n"/>
      <c r="F10" s="21" t="n"/>
      <c r="G10" s="21" t="n"/>
      <c r="H10" s="11" t="n"/>
      <c r="I10" s="21" t="n"/>
      <c r="J10" s="11" t="n"/>
      <c r="K10" s="11" t="n"/>
      <c r="L10" s="15">
        <f>IF(I10&lt;&gt;"Так","",IF(J10="","Оберіть захід",IF(K10="","Вкажіть, де в мережі",IF(D10="","Оберіть літеру STRIDE",IF(F10="","Вкажіть природу",IF(AND(INDEX('В08 Каталог'!$C$5:$C$19,MATCH(J10,'В08 Каталог'!$B$5:$B$19,0))="Лабораторна",F10="фізична",INDEX('В08 Каталог'!$A$5:$A$19,MATCH(J10,'В08 Каталог'!$B$5:$B$19,0))&lt;&gt;"L10"),"Мережевий захід не закриває фізичну загрозу",IF(AND(INDEX('В08 Каталог'!$C$5:$C$19,MATCH(J10,'В08 Каталог'!$B$5:$B$19,0))="Лабораторна",ISERROR(SEARCH(LEFT(D10,1),INDEX('В08 Каталог'!$D$5:$D$19,MATCH(J10,'В08 Каталог'!$B$5:$B$19,0))))),"Захід не діє на цей тип загрози",IF(AND(INDEX('В08 Каталог'!$C$5:$C$19,MATCH(J10,'В08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IF(J10="","",IFERROR(INDEX('В08 Каталог'!$E$5:$E$19,MATCH(J10,'В08 Каталог'!$B$5:$B$19,0)),""))</f>
        <v/>
      </c>
      <c r="N10" s="22">
        <f>IF(J10="","",IFERROR(INDEX('В08 Каталог'!$C$5:$C$19,MATCH(J10,'В08 Каталог'!$B$5:$B$19,0)),""))</f>
        <v/>
      </c>
      <c r="O10" s="21" t="n"/>
    </row>
    <row r="11">
      <c r="A11" s="15" t="n">
        <v>7</v>
      </c>
      <c r="B11" s="11" t="n"/>
      <c r="C11" s="11" t="n"/>
      <c r="D11" s="21" t="n"/>
      <c r="E11" s="11" t="n"/>
      <c r="F11" s="21" t="n"/>
      <c r="G11" s="21" t="n"/>
      <c r="H11" s="11" t="n"/>
      <c r="I11" s="21" t="n"/>
      <c r="J11" s="11" t="n"/>
      <c r="K11" s="11" t="n"/>
      <c r="L11" s="15">
        <f>IF(I11&lt;&gt;"Так","",IF(J11="","Оберіть захід",IF(K11="","Вкажіть, де в мережі",IF(D11="","Оберіть літеру STRIDE",IF(F11="","Вкажіть природу",IF(AND(INDEX('В08 Каталог'!$C$5:$C$19,MATCH(J11,'В08 Каталог'!$B$5:$B$19,0))="Лабораторна",F11="фізична",INDEX('В08 Каталог'!$A$5:$A$19,MATCH(J11,'В08 Каталог'!$B$5:$B$19,0))&lt;&gt;"L10"),"Мережевий захід не закриває фізичну загрозу",IF(AND(INDEX('В08 Каталог'!$C$5:$C$19,MATCH(J11,'В08 Каталог'!$B$5:$B$19,0))="Лабораторна",ISERROR(SEARCH(LEFT(D11,1),INDEX('В08 Каталог'!$D$5:$D$19,MATCH(J11,'В08 Каталог'!$B$5:$B$19,0))))),"Захід не діє на цей тип загрози",IF(AND(INDEX('В08 Каталог'!$C$5:$C$19,MATCH(J11,'В08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IF(J11="","",IFERROR(INDEX('В08 Каталог'!$E$5:$E$19,MATCH(J11,'В08 Каталог'!$B$5:$B$19,0)),""))</f>
        <v/>
      </c>
      <c r="N11" s="22">
        <f>IF(J11="","",IFERROR(INDEX('В08 Каталог'!$C$5:$C$19,MATCH(J11,'В08 Каталог'!$B$5:$B$19,0)),""))</f>
        <v/>
      </c>
      <c r="O11" s="21" t="n"/>
    </row>
    <row r="12">
      <c r="A12" s="15" t="n">
        <v>8</v>
      </c>
      <c r="B12" s="11" t="n"/>
      <c r="C12" s="11" t="n"/>
      <c r="D12" s="21" t="n"/>
      <c r="E12" s="11" t="n"/>
      <c r="F12" s="21" t="n"/>
      <c r="G12" s="21" t="n"/>
      <c r="H12" s="11" t="n"/>
      <c r="I12" s="21" t="n"/>
      <c r="J12" s="11" t="n"/>
      <c r="K12" s="11" t="n"/>
      <c r="L12" s="15">
        <f>IF(I12&lt;&gt;"Так","",IF(J12="","Оберіть захід",IF(K12="","Вкажіть, де в мережі",IF(D12="","Оберіть літеру STRIDE",IF(F12="","Вкажіть природу",IF(AND(INDEX('В08 Каталог'!$C$5:$C$19,MATCH(J12,'В08 Каталог'!$B$5:$B$19,0))="Лабораторна",F12="фізична",INDEX('В08 Каталог'!$A$5:$A$19,MATCH(J12,'В08 Каталог'!$B$5:$B$19,0))&lt;&gt;"L10"),"Мережевий захід не закриває фізичну загрозу",IF(AND(INDEX('В08 Каталог'!$C$5:$C$19,MATCH(J12,'В08 Каталог'!$B$5:$B$19,0))="Лабораторна",ISERROR(SEARCH(LEFT(D12,1),INDEX('В08 Каталог'!$D$5:$D$19,MATCH(J12,'В08 Каталог'!$B$5:$B$19,0))))),"Захід не діє на цей тип загрози",IF(AND(INDEX('В08 Каталог'!$C$5:$C$19,MATCH(J12,'В08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IF(J12="","",IFERROR(INDEX('В08 Каталог'!$E$5:$E$19,MATCH(J12,'В08 Каталог'!$B$5:$B$19,0)),""))</f>
        <v/>
      </c>
      <c r="N12" s="22">
        <f>IF(J12="","",IFERROR(INDEX('В08 Каталог'!$C$5:$C$19,MATCH(J12,'В08 Каталог'!$B$5:$B$19,0)),""))</f>
        <v/>
      </c>
      <c r="O12" s="21" t="n"/>
    </row>
    <row r="13">
      <c r="A13" s="15" t="n">
        <v>9</v>
      </c>
      <c r="B13" s="11" t="n"/>
      <c r="C13" s="11" t="n"/>
      <c r="D13" s="21" t="n"/>
      <c r="E13" s="11" t="n"/>
      <c r="F13" s="21" t="n"/>
      <c r="G13" s="21" t="n"/>
      <c r="H13" s="11" t="n"/>
      <c r="I13" s="21" t="n"/>
      <c r="J13" s="11" t="n"/>
      <c r="K13" s="11" t="n"/>
      <c r="L13" s="15">
        <f>IF(I13&lt;&gt;"Так","",IF(J13="","Оберіть захід",IF(K13="","Вкажіть, де в мережі",IF(D13="","Оберіть літеру STRIDE",IF(F13="","Вкажіть природу",IF(AND(INDEX('В08 Каталог'!$C$5:$C$19,MATCH(J13,'В08 Каталог'!$B$5:$B$19,0))="Лабораторна",F13="фізична",INDEX('В08 Каталог'!$A$5:$A$19,MATCH(J13,'В08 Каталог'!$B$5:$B$19,0))&lt;&gt;"L10"),"Мережевий захід не закриває фізичну загрозу",IF(AND(INDEX('В08 Каталог'!$C$5:$C$19,MATCH(J13,'В08 Каталог'!$B$5:$B$19,0))="Лабораторна",ISERROR(SEARCH(LEFT(D13,1),INDEX('В08 Каталог'!$D$5:$D$19,MATCH(J13,'В08 Каталог'!$B$5:$B$19,0))))),"Захід не діє на цей тип загрози",IF(AND(INDEX('В08 Каталог'!$C$5:$C$19,MATCH(J13,'В08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IF(J13="","",IFERROR(INDEX('В08 Каталог'!$E$5:$E$19,MATCH(J13,'В08 Каталог'!$B$5:$B$19,0)),""))</f>
        <v/>
      </c>
      <c r="N13" s="22">
        <f>IF(J13="","",IFERROR(INDEX('В08 Каталог'!$C$5:$C$19,MATCH(J13,'В08 Каталог'!$B$5:$B$19,0)),""))</f>
        <v/>
      </c>
      <c r="O13" s="21" t="n"/>
    </row>
    <row r="14">
      <c r="A14" s="15" t="n">
        <v>10</v>
      </c>
      <c r="B14" s="11" t="n"/>
      <c r="C14" s="11" t="n"/>
      <c r="D14" s="21" t="n"/>
      <c r="E14" s="11" t="n"/>
      <c r="F14" s="21" t="n"/>
      <c r="G14" s="21" t="n"/>
      <c r="H14" s="11" t="n"/>
      <c r="I14" s="21" t="n"/>
      <c r="J14" s="11" t="n"/>
      <c r="K14" s="11" t="n"/>
      <c r="L14" s="15">
        <f>IF(I14&lt;&gt;"Так","",IF(J14="","Оберіть захід",IF(K14="","Вкажіть, де в мережі",IF(D14="","Оберіть літеру STRIDE",IF(F14="","Вкажіть природу",IF(AND(INDEX('В08 Каталог'!$C$5:$C$19,MATCH(J14,'В08 Каталог'!$B$5:$B$19,0))="Лабораторна",F14="фізична",INDEX('В08 Каталог'!$A$5:$A$19,MATCH(J14,'В08 Каталог'!$B$5:$B$19,0))&lt;&gt;"L10"),"Мережевий захід не закриває фізичну загрозу",IF(AND(INDEX('В08 Каталог'!$C$5:$C$19,MATCH(J14,'В08 Каталог'!$B$5:$B$19,0))="Лабораторна",ISERROR(SEARCH(LEFT(D14,1),INDEX('В08 Каталог'!$D$5:$D$19,MATCH(J14,'В08 Каталог'!$B$5:$B$19,0))))),"Захід не діє на цей тип загрози",IF(AND(INDEX('В08 Каталог'!$C$5:$C$19,MATCH(J14,'В08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IF(J14="","",IFERROR(INDEX('В08 Каталог'!$E$5:$E$19,MATCH(J14,'В08 Каталог'!$B$5:$B$19,0)),""))</f>
        <v/>
      </c>
      <c r="N14" s="22">
        <f>IF(J14="","",IFERROR(INDEX('В08 Каталог'!$C$5:$C$19,MATCH(J14,'В08 Каталог'!$B$5:$B$19,0)),""))</f>
        <v/>
      </c>
      <c r="O14" s="21" t="n"/>
    </row>
    <row r="15">
      <c r="A15" s="15" t="n">
        <v>11</v>
      </c>
      <c r="B15" s="11" t="n"/>
      <c r="C15" s="11" t="n"/>
      <c r="D15" s="21" t="n"/>
      <c r="E15" s="11" t="n"/>
      <c r="F15" s="21" t="n"/>
      <c r="G15" s="21" t="n"/>
      <c r="H15" s="11" t="n"/>
      <c r="I15" s="21" t="n"/>
      <c r="J15" s="11" t="n"/>
      <c r="K15" s="11" t="n"/>
      <c r="L15" s="15">
        <f>IF(I15&lt;&gt;"Так","",IF(J15="","Оберіть захід",IF(K15="","Вкажіть, де в мережі",IF(D15="","Оберіть літеру STRIDE",IF(F15="","Вкажіть природу",IF(AND(INDEX('В08 Каталог'!$C$5:$C$19,MATCH(J15,'В08 Каталог'!$B$5:$B$19,0))="Лабораторна",F15="фізична",INDEX('В08 Каталог'!$A$5:$A$19,MATCH(J15,'В08 Каталог'!$B$5:$B$19,0))&lt;&gt;"L10"),"Мережевий захід не закриває фізичну загрозу",IF(AND(INDEX('В08 Каталог'!$C$5:$C$19,MATCH(J15,'В08 Каталог'!$B$5:$B$19,0))="Лабораторна",ISERROR(SEARCH(LEFT(D15,1),INDEX('В08 Каталог'!$D$5:$D$19,MATCH(J15,'В08 Каталог'!$B$5:$B$19,0))))),"Захід не діє на цей тип загрози",IF(AND(INDEX('В08 Каталог'!$C$5:$C$19,MATCH(J15,'В08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IF(J15="","",IFERROR(INDEX('В08 Каталог'!$E$5:$E$19,MATCH(J15,'В08 Каталог'!$B$5:$B$19,0)),""))</f>
        <v/>
      </c>
      <c r="N15" s="22">
        <f>IF(J15="","",IFERROR(INDEX('В08 Каталог'!$C$5:$C$19,MATCH(J15,'В08 Каталог'!$B$5:$B$19,0)),""))</f>
        <v/>
      </c>
      <c r="O15" s="21" t="n"/>
    </row>
    <row r="16">
      <c r="A16" s="15" t="n">
        <v>12</v>
      </c>
      <c r="B16" s="11" t="n"/>
      <c r="C16" s="11" t="n"/>
      <c r="D16" s="21" t="n"/>
      <c r="E16" s="11" t="n"/>
      <c r="F16" s="21" t="n"/>
      <c r="G16" s="21" t="n"/>
      <c r="H16" s="11" t="n"/>
      <c r="I16" s="21" t="n"/>
      <c r="J16" s="11" t="n"/>
      <c r="K16" s="11" t="n"/>
      <c r="L16" s="15">
        <f>IF(I16&lt;&gt;"Так","",IF(J16="","Оберіть захід",IF(K16="","Вкажіть, де в мережі",IF(D16="","Оберіть літеру STRIDE",IF(F16="","Вкажіть природу",IF(AND(INDEX('В08 Каталог'!$C$5:$C$19,MATCH(J16,'В08 Каталог'!$B$5:$B$19,0))="Лабораторна",F16="фізична",INDEX('В08 Каталог'!$A$5:$A$19,MATCH(J16,'В08 Каталог'!$B$5:$B$19,0))&lt;&gt;"L10"),"Мережевий захід не закриває фізичну загрозу",IF(AND(INDEX('В08 Каталог'!$C$5:$C$19,MATCH(J16,'В08 Каталог'!$B$5:$B$19,0))="Лабораторна",ISERROR(SEARCH(LEFT(D16,1),INDEX('В08 Каталог'!$D$5:$D$19,MATCH(J16,'В08 Каталог'!$B$5:$B$19,0))))),"Захід не діє на цей тип загрози",IF(AND(INDEX('В08 Каталог'!$C$5:$C$19,MATCH(J16,'В08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IF(J16="","",IFERROR(INDEX('В08 Каталог'!$E$5:$E$19,MATCH(J16,'В08 Каталог'!$B$5:$B$19,0)),""))</f>
        <v/>
      </c>
      <c r="N16" s="22">
        <f>IF(J16="","",IFERROR(INDEX('В08 Каталог'!$C$5:$C$19,MATCH(J16,'В08 Каталог'!$B$5:$B$19,0)),""))</f>
        <v/>
      </c>
      <c r="O16" s="21" t="n"/>
    </row>
    <row r="17">
      <c r="A17" s="15" t="n">
        <v>13</v>
      </c>
      <c r="B17" s="11" t="n"/>
      <c r="C17" s="11" t="n"/>
      <c r="D17" s="21" t="n"/>
      <c r="E17" s="11" t="n"/>
      <c r="F17" s="21" t="n"/>
      <c r="G17" s="21" t="n"/>
      <c r="H17" s="11" t="n"/>
      <c r="I17" s="21" t="n"/>
      <c r="J17" s="11" t="n"/>
      <c r="K17" s="11" t="n"/>
      <c r="L17" s="15">
        <f>IF(I17&lt;&gt;"Так","",IF(J17="","Оберіть захід",IF(K17="","Вкажіть, де в мережі",IF(D17="","Оберіть літеру STRIDE",IF(F17="","Вкажіть природу",IF(AND(INDEX('В08 Каталог'!$C$5:$C$19,MATCH(J17,'В08 Каталог'!$B$5:$B$19,0))="Лабораторна",F17="фізична",INDEX('В08 Каталог'!$A$5:$A$19,MATCH(J17,'В08 Каталог'!$B$5:$B$19,0))&lt;&gt;"L10"),"Мережевий захід не закриває фізичну загрозу",IF(AND(INDEX('В08 Каталог'!$C$5:$C$19,MATCH(J17,'В08 Каталог'!$B$5:$B$19,0))="Лабораторна",ISERROR(SEARCH(LEFT(D17,1),INDEX('В08 Каталог'!$D$5:$D$19,MATCH(J17,'В08 Каталог'!$B$5:$B$19,0))))),"Захід не діє на цей тип загрози",IF(AND(INDEX('В08 Каталог'!$C$5:$C$19,MATCH(J17,'В08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IF(J17="","",IFERROR(INDEX('В08 Каталог'!$E$5:$E$19,MATCH(J17,'В08 Каталог'!$B$5:$B$19,0)),""))</f>
        <v/>
      </c>
      <c r="N17" s="22">
        <f>IF(J17="","",IFERROR(INDEX('В08 Каталог'!$C$5:$C$19,MATCH(J17,'В08 Каталог'!$B$5:$B$19,0)),""))</f>
        <v/>
      </c>
      <c r="O17" s="21" t="n"/>
    </row>
    <row r="18">
      <c r="A18" s="15" t="n">
        <v>14</v>
      </c>
      <c r="B18" s="11" t="n"/>
      <c r="C18" s="11" t="n"/>
      <c r="D18" s="21" t="n"/>
      <c r="E18" s="11" t="n"/>
      <c r="F18" s="21" t="n"/>
      <c r="G18" s="21" t="n"/>
      <c r="H18" s="11" t="n"/>
      <c r="I18" s="21" t="n"/>
      <c r="J18" s="11" t="n"/>
      <c r="K18" s="11" t="n"/>
      <c r="L18" s="15">
        <f>IF(I18&lt;&gt;"Так","",IF(J18="","Оберіть захід",IF(K18="","Вкажіть, де в мережі",IF(D18="","Оберіть літеру STRIDE",IF(F18="","Вкажіть природу",IF(AND(INDEX('В08 Каталог'!$C$5:$C$19,MATCH(J18,'В08 Каталог'!$B$5:$B$19,0))="Лабораторна",F18="фізична",INDEX('В08 Каталог'!$A$5:$A$19,MATCH(J18,'В08 Каталог'!$B$5:$B$19,0))&lt;&gt;"L10"),"Мережевий захід не закриває фізичну загрозу",IF(AND(INDEX('В08 Каталог'!$C$5:$C$19,MATCH(J18,'В08 Каталог'!$B$5:$B$19,0))="Лабораторна",ISERROR(SEARCH(LEFT(D18,1),INDEX('В08 Каталог'!$D$5:$D$19,MATCH(J18,'В08 Каталог'!$B$5:$B$19,0))))),"Захід не діє на цей тип загрози",IF(AND(INDEX('В08 Каталог'!$C$5:$C$19,MATCH(J18,'В08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IF(J18="","",IFERROR(INDEX('В08 Каталог'!$E$5:$E$19,MATCH(J18,'В08 Каталог'!$B$5:$B$19,0)),""))</f>
        <v/>
      </c>
      <c r="N18" s="22">
        <f>IF(J18="","",IFERROR(INDEX('В08 Каталог'!$C$5:$C$19,MATCH(J18,'В08 Каталог'!$B$5:$B$19,0)),""))</f>
        <v/>
      </c>
      <c r="O18" s="21" t="n"/>
    </row>
    <row r="19">
      <c r="A19" s="15" t="n">
        <v>15</v>
      </c>
      <c r="B19" s="11" t="n"/>
      <c r="C19" s="11" t="n"/>
      <c r="D19" s="21" t="n"/>
      <c r="E19" s="11" t="n"/>
      <c r="F19" s="21" t="n"/>
      <c r="G19" s="21" t="n"/>
      <c r="H19" s="11" t="n"/>
      <c r="I19" s="21" t="n"/>
      <c r="J19" s="11" t="n"/>
      <c r="K19" s="11" t="n"/>
      <c r="L19" s="15">
        <f>IF(I19&lt;&gt;"Так","",IF(J19="","Оберіть захід",IF(K19="","Вкажіть, де в мережі",IF(D19="","Оберіть літеру STRIDE",IF(F19="","Вкажіть природу",IF(AND(INDEX('В08 Каталог'!$C$5:$C$19,MATCH(J19,'В08 Каталог'!$B$5:$B$19,0))="Лабораторна",F19="фізична",INDEX('В08 Каталог'!$A$5:$A$19,MATCH(J19,'В08 Каталог'!$B$5:$B$19,0))&lt;&gt;"L10"),"Мережевий захід не закриває фізичну загрозу",IF(AND(INDEX('В08 Каталог'!$C$5:$C$19,MATCH(J19,'В08 Каталог'!$B$5:$B$19,0))="Лабораторна",ISERROR(SEARCH(LEFT(D19,1),INDEX('В08 Каталог'!$D$5:$D$19,MATCH(J19,'В08 Каталог'!$B$5:$B$19,0))))),"Захід не діє на цей тип загрози",IF(AND(INDEX('В08 Каталог'!$C$5:$C$19,MATCH(J19,'В08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IF(J19="","",IFERROR(INDEX('В08 Каталог'!$E$5:$E$19,MATCH(J19,'В08 Каталог'!$B$5:$B$19,0)),""))</f>
        <v/>
      </c>
      <c r="N19" s="22">
        <f>IF(J19="","",IFERROR(INDEX('В08 Каталог'!$C$5:$C$19,MATCH(J19,'В08 Каталог'!$B$5:$B$19,0)),""))</f>
        <v/>
      </c>
      <c r="O19" s="21" t="n"/>
    </row>
    <row r="20">
      <c r="A20" s="15" t="n">
        <v>16</v>
      </c>
      <c r="B20" s="11" t="n"/>
      <c r="C20" s="11" t="n"/>
      <c r="D20" s="21" t="n"/>
      <c r="E20" s="11" t="n"/>
      <c r="F20" s="21" t="n"/>
      <c r="G20" s="21" t="n"/>
      <c r="H20" s="11" t="n"/>
      <c r="I20" s="21" t="n"/>
      <c r="J20" s="11" t="n"/>
      <c r="K20" s="11" t="n"/>
      <c r="L20" s="15">
        <f>IF(I20&lt;&gt;"Так","",IF(J20="","Оберіть захід",IF(K20="","Вкажіть, де в мережі",IF(D20="","Оберіть літеру STRIDE",IF(F20="","Вкажіть природу",IF(AND(INDEX('В08 Каталог'!$C$5:$C$19,MATCH(J20,'В08 Каталог'!$B$5:$B$19,0))="Лабораторна",F20="фізична",INDEX('В08 Каталог'!$A$5:$A$19,MATCH(J20,'В08 Каталог'!$B$5:$B$19,0))&lt;&gt;"L10"),"Мережевий захід не закриває фізичну загрозу",IF(AND(INDEX('В08 Каталог'!$C$5:$C$19,MATCH(J20,'В08 Каталог'!$B$5:$B$19,0))="Лабораторна",ISERROR(SEARCH(LEFT(D20,1),INDEX('В08 Каталог'!$D$5:$D$19,MATCH(J20,'В08 Каталог'!$B$5:$B$19,0))))),"Захід не діє на цей тип загрози",IF(AND(INDEX('В08 Каталог'!$C$5:$C$19,MATCH(J20,'В08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IF(J20="","",IFERROR(INDEX('В08 Каталог'!$E$5:$E$19,MATCH(J20,'В08 Каталог'!$B$5:$B$19,0)),""))</f>
        <v/>
      </c>
      <c r="N20" s="22">
        <f>IF(J20="","",IFERROR(INDEX('В08 Каталог'!$C$5:$C$19,MATCH(J20,'В08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природу",IF(AND(INDEX('В08 Каталог'!$C$5:$C$19,MATCH(J21,'В08 Каталог'!$B$5:$B$19,0))="Лабораторна",F21="фізична",INDEX('В08 Каталог'!$A$5:$A$19,MATCH(J21,'В08 Каталог'!$B$5:$B$19,0))&lt;&gt;"L10"),"Мережевий захід не закриває фізичну загрозу",IF(AND(INDEX('В08 Каталог'!$C$5:$C$19,MATCH(J21,'В08 Каталог'!$B$5:$B$19,0))="Лабораторна",ISERROR(SEARCH(LEFT(D21,1),INDEX('В08 Каталог'!$D$5:$D$19,MATCH(J21,'В08 Каталог'!$B$5:$B$19,0))))),"Захід не діє на цей тип загрози",IF(AND(INDEX('В08 Каталог'!$C$5:$C$19,MATCH(J21,'В08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IF(J21="","",IFERROR(INDEX('В08 Каталог'!$E$5:$E$19,MATCH(J21,'В08 Каталог'!$B$5:$B$19,0)),""))</f>
        <v/>
      </c>
      <c r="N21" s="22">
        <f>IF(J21="","",IFERROR(INDEX('В08 Каталог'!$C$5:$C$19,MATCH(J21,'В08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природу",IF(AND(INDEX('В08 Каталог'!$C$5:$C$19,MATCH(J22,'В08 Каталог'!$B$5:$B$19,0))="Лабораторна",F22="фізична",INDEX('В08 Каталог'!$A$5:$A$19,MATCH(J22,'В08 Каталог'!$B$5:$B$19,0))&lt;&gt;"L10"),"Мережевий захід не закриває фізичну загрозу",IF(AND(INDEX('В08 Каталог'!$C$5:$C$19,MATCH(J22,'В08 Каталог'!$B$5:$B$19,0))="Лабораторна",ISERROR(SEARCH(LEFT(D22,1),INDEX('В08 Каталог'!$D$5:$D$19,MATCH(J22,'В08 Каталог'!$B$5:$B$19,0))))),"Захід не діє на цей тип загрози",IF(AND(INDEX('В08 Каталог'!$C$5:$C$19,MATCH(J22,'В08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IF(J22="","",IFERROR(INDEX('В08 Каталог'!$E$5:$E$19,MATCH(J22,'В08 Каталог'!$B$5:$B$19,0)),""))</f>
        <v/>
      </c>
      <c r="N22" s="22">
        <f>IF(J22="","",IFERROR(INDEX('В08 Каталог'!$C$5:$C$19,MATCH(J22,'В08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природу",IF(AND(INDEX('В08 Каталог'!$C$5:$C$19,MATCH(J23,'В08 Каталог'!$B$5:$B$19,0))="Лабораторна",F23="фізична",INDEX('В08 Каталог'!$A$5:$A$19,MATCH(J23,'В08 Каталог'!$B$5:$B$19,0))&lt;&gt;"L10"),"Мережевий захід не закриває фізичну загрозу",IF(AND(INDEX('В08 Каталог'!$C$5:$C$19,MATCH(J23,'В08 Каталог'!$B$5:$B$19,0))="Лабораторна",ISERROR(SEARCH(LEFT(D23,1),INDEX('В08 Каталог'!$D$5:$D$19,MATCH(J23,'В08 Каталог'!$B$5:$B$19,0))))),"Захід не діє на цей тип загрози",IF(AND(INDEX('В08 Каталог'!$C$5:$C$19,MATCH(J23,'В08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IF(J23="","",IFERROR(INDEX('В08 Каталог'!$E$5:$E$19,MATCH(J23,'В08 Каталог'!$B$5:$B$19,0)),""))</f>
        <v/>
      </c>
      <c r="N23" s="22">
        <f>IF(J23="","",IFERROR(INDEX('В08 Каталог'!$C$5:$C$19,MATCH(J23,'В08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природу",IF(AND(INDEX('В08 Каталог'!$C$5:$C$19,MATCH(J24,'В08 Каталог'!$B$5:$B$19,0))="Лабораторна",F24="фізична",INDEX('В08 Каталог'!$A$5:$A$19,MATCH(J24,'В08 Каталог'!$B$5:$B$19,0))&lt;&gt;"L10"),"Мережевий захід не закриває фізичну загрозу",IF(AND(INDEX('В08 Каталог'!$C$5:$C$19,MATCH(J24,'В08 Каталог'!$B$5:$B$19,0))="Лабораторна",ISERROR(SEARCH(LEFT(D24,1),INDEX('В08 Каталог'!$D$5:$D$19,MATCH(J24,'В08 Каталог'!$B$5:$B$19,0))))),"Захід не діє на цей тип загрози",IF(AND(INDEX('В08 Каталог'!$C$5:$C$19,MATCH(J24,'В08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IF(J24="","",IFERROR(INDEX('В08 Каталог'!$E$5:$E$19,MATCH(J24,'В08 Каталог'!$B$5:$B$19,0)),""))</f>
        <v/>
      </c>
      <c r="N24" s="22">
        <f>IF(J24="","",IFERROR(INDEX('В08 Каталог'!$C$5:$C$19,MATCH(J24,'В08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природу",IF(AND(INDEX('В08 Каталог'!$C$5:$C$19,MATCH(J25,'В08 Каталог'!$B$5:$B$19,0))="Лабораторна",F25="фізична",INDEX('В08 Каталог'!$A$5:$A$19,MATCH(J25,'В08 Каталог'!$B$5:$B$19,0))&lt;&gt;"L10"),"Мережевий захід не закриває фізичну загрозу",IF(AND(INDEX('В08 Каталог'!$C$5:$C$19,MATCH(J25,'В08 Каталог'!$B$5:$B$19,0))="Лабораторна",ISERROR(SEARCH(LEFT(D25,1),INDEX('В08 Каталог'!$D$5:$D$19,MATCH(J25,'В08 Каталог'!$B$5:$B$19,0))))),"Захід не діє на цей тип загрози",IF(AND(INDEX('В08 Каталог'!$C$5:$C$19,MATCH(J25,'В08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IF(J25="","",IFERROR(INDEX('В08 Каталог'!$E$5:$E$19,MATCH(J25,'В08 Каталог'!$B$5:$B$19,0)),""))</f>
        <v/>
      </c>
      <c r="N25" s="22">
        <f>IF(J25="","",IFERROR(INDEX('В08 Каталог'!$C$5:$C$19,MATCH(J25,'В08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природу",IF(AND(INDEX('В08 Каталог'!$C$5:$C$19,MATCH(J26,'В08 Каталог'!$B$5:$B$19,0))="Лабораторна",F26="фізична",INDEX('В08 Каталог'!$A$5:$A$19,MATCH(J26,'В08 Каталог'!$B$5:$B$19,0))&lt;&gt;"L10"),"Мережевий захід не закриває фізичну загрозу",IF(AND(INDEX('В08 Каталог'!$C$5:$C$19,MATCH(J26,'В08 Каталог'!$B$5:$B$19,0))="Лабораторна",ISERROR(SEARCH(LEFT(D26,1),INDEX('В08 Каталог'!$D$5:$D$19,MATCH(J26,'В08 Каталог'!$B$5:$B$19,0))))),"Захід не діє на цей тип загрози",IF(AND(INDEX('В08 Каталог'!$C$5:$C$19,MATCH(J26,'В08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IF(J26="","",IFERROR(INDEX('В08 Каталог'!$E$5:$E$19,MATCH(J26,'В08 Каталог'!$B$5:$B$19,0)),""))</f>
        <v/>
      </c>
      <c r="N26" s="22">
        <f>IF(J26="","",IFERROR(INDEX('В08 Каталог'!$C$5:$C$19,MATCH(J26,'В08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природу",IF(AND(INDEX('В08 Каталог'!$C$5:$C$19,MATCH(J27,'В08 Каталог'!$B$5:$B$19,0))="Лабораторна",F27="фізична",INDEX('В08 Каталог'!$A$5:$A$19,MATCH(J27,'В08 Каталог'!$B$5:$B$19,0))&lt;&gt;"L10"),"Мережевий захід не закриває фізичну загрозу",IF(AND(INDEX('В08 Каталог'!$C$5:$C$19,MATCH(J27,'В08 Каталог'!$B$5:$B$19,0))="Лабораторна",ISERROR(SEARCH(LEFT(D27,1),INDEX('В08 Каталог'!$D$5:$D$19,MATCH(J27,'В08 Каталог'!$B$5:$B$19,0))))),"Захід не діє на цей тип загрози",IF(AND(INDEX('В08 Каталог'!$C$5:$C$19,MATCH(J27,'В08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IF(J27="","",IFERROR(INDEX('В08 Каталог'!$E$5:$E$19,MATCH(J27,'В08 Каталог'!$B$5:$B$19,0)),""))</f>
        <v/>
      </c>
      <c r="N27" s="22">
        <f>IF(J27="","",IFERROR(INDEX('В08 Каталог'!$C$5:$C$19,MATCH(J27,'В08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природу",IF(AND(INDEX('В08 Каталог'!$C$5:$C$19,MATCH(J28,'В08 Каталог'!$B$5:$B$19,0))="Лабораторна",F28="фізична",INDEX('В08 Каталог'!$A$5:$A$19,MATCH(J28,'В08 Каталог'!$B$5:$B$19,0))&lt;&gt;"L10"),"Мережевий захід не закриває фізичну загрозу",IF(AND(INDEX('В08 Каталог'!$C$5:$C$19,MATCH(J28,'В08 Каталог'!$B$5:$B$19,0))="Лабораторна",ISERROR(SEARCH(LEFT(D28,1),INDEX('В08 Каталог'!$D$5:$D$19,MATCH(J28,'В08 Каталог'!$B$5:$B$19,0))))),"Захід не діє на цей тип загрози",IF(AND(INDEX('В08 Каталог'!$C$5:$C$19,MATCH(J28,'В08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IF(J28="","",IFERROR(INDEX('В08 Каталог'!$E$5:$E$19,MATCH(J28,'В08 Каталог'!$B$5:$B$19,0)),""))</f>
        <v/>
      </c>
      <c r="N28" s="22">
        <f>IF(J28="","",IFERROR(INDEX('В08 Каталог'!$C$5:$C$19,MATCH(J28,'В08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природу",IF(AND(INDEX('В08 Каталог'!$C$5:$C$19,MATCH(J29,'В08 Каталог'!$B$5:$B$19,0))="Лабораторна",F29="фізична",INDEX('В08 Каталог'!$A$5:$A$19,MATCH(J29,'В08 Каталог'!$B$5:$B$19,0))&lt;&gt;"L10"),"Мережевий захід не закриває фізичну загрозу",IF(AND(INDEX('В08 Каталог'!$C$5:$C$19,MATCH(J29,'В08 Каталог'!$B$5:$B$19,0))="Лабораторна",ISERROR(SEARCH(LEFT(D29,1),INDEX('В08 Каталог'!$D$5:$D$19,MATCH(J29,'В08 Каталог'!$B$5:$B$19,0))))),"Захід не діє на цей тип загрози",IF(AND(INDEX('В08 Каталог'!$C$5:$C$19,MATCH(J29,'В08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IF(J29="","",IFERROR(INDEX('В08 Каталог'!$E$5:$E$19,MATCH(J29,'В08 Каталог'!$B$5:$B$19,0)),""))</f>
        <v/>
      </c>
      <c r="N29" s="22">
        <f>IF(J29="","",IFERROR(INDEX('В08 Каталог'!$C$5:$C$19,MATCH(J29,'В08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природу",IF(AND(INDEX('В08 Каталог'!$C$5:$C$19,MATCH(J30,'В08 Каталог'!$B$5:$B$19,0))="Лабораторна",F30="фізична",INDEX('В08 Каталог'!$A$5:$A$19,MATCH(J30,'В08 Каталог'!$B$5:$B$19,0))&lt;&gt;"L10"),"Мережевий захід не закриває фізичну загрозу",IF(AND(INDEX('В08 Каталог'!$C$5:$C$19,MATCH(J30,'В08 Каталог'!$B$5:$B$19,0))="Лабораторна",ISERROR(SEARCH(LEFT(D30,1),INDEX('В08 Каталог'!$D$5:$D$19,MATCH(J30,'В08 Каталог'!$B$5:$B$19,0))))),"Захід не діє на цей тип загрози",IF(AND(INDEX('В08 Каталог'!$C$5:$C$19,MATCH(J30,'В08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IF(J30="","",IFERROR(INDEX('В08 Каталог'!$E$5:$E$19,MATCH(J30,'В08 Каталог'!$B$5:$B$19,0)),""))</f>
        <v/>
      </c>
      <c r="N30" s="22">
        <f>IF(J30="","",IFERROR(INDEX('В08 Каталог'!$C$5:$C$19,MATCH(J30,'В08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природу",IF(AND(INDEX('В08 Каталог'!$C$5:$C$19,MATCH(J31,'В08 Каталог'!$B$5:$B$19,0))="Лабораторна",F31="фізична",INDEX('В08 Каталог'!$A$5:$A$19,MATCH(J31,'В08 Каталог'!$B$5:$B$19,0))&lt;&gt;"L10"),"Мережевий захід не закриває фізичну загрозу",IF(AND(INDEX('В08 Каталог'!$C$5:$C$19,MATCH(J31,'В08 Каталог'!$B$5:$B$19,0))="Лабораторна",ISERROR(SEARCH(LEFT(D31,1),INDEX('В08 Каталог'!$D$5:$D$19,MATCH(J31,'В08 Каталог'!$B$5:$B$19,0))))),"Захід не діє на цей тип загрози",IF(AND(INDEX('В08 Каталог'!$C$5:$C$19,MATCH(J31,'В08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IF(J31="","",IFERROR(INDEX('В08 Каталог'!$E$5:$E$19,MATCH(J31,'В08 Каталог'!$B$5:$B$19,0)),""))</f>
        <v/>
      </c>
      <c r="N31" s="22">
        <f>IF(J31="","",IFERROR(INDEX('В08 Каталог'!$C$5:$C$19,MATCH(J31,'В08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природу",IF(AND(INDEX('В08 Каталог'!$C$5:$C$19,MATCH(J32,'В08 Каталог'!$B$5:$B$19,0))="Лабораторна",F32="фізична",INDEX('В08 Каталог'!$A$5:$A$19,MATCH(J32,'В08 Каталог'!$B$5:$B$19,0))&lt;&gt;"L10"),"Мережевий захід не закриває фізичну загрозу",IF(AND(INDEX('В08 Каталог'!$C$5:$C$19,MATCH(J32,'В08 Каталог'!$B$5:$B$19,0))="Лабораторна",ISERROR(SEARCH(LEFT(D32,1),INDEX('В08 Каталог'!$D$5:$D$19,MATCH(J32,'В08 Каталог'!$B$5:$B$19,0))))),"Захід не діє на цей тип загрози",IF(AND(INDEX('В08 Каталог'!$C$5:$C$19,MATCH(J32,'В08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IF(J32="","",IFERROR(INDEX('В08 Каталог'!$E$5:$E$19,MATCH(J32,'В08 Каталог'!$B$5:$B$19,0)),""))</f>
        <v/>
      </c>
      <c r="N32" s="22">
        <f>IF(J32="","",IFERROR(INDEX('В08 Каталог'!$C$5:$C$19,MATCH(J32,'В08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природу",IF(AND(INDEX('В08 Каталог'!$C$5:$C$19,MATCH(J33,'В08 Каталог'!$B$5:$B$19,0))="Лабораторна",F33="фізична",INDEX('В08 Каталог'!$A$5:$A$19,MATCH(J33,'В08 Каталог'!$B$5:$B$19,0))&lt;&gt;"L10"),"Мережевий захід не закриває фізичну загрозу",IF(AND(INDEX('В08 Каталог'!$C$5:$C$19,MATCH(J33,'В08 Каталог'!$B$5:$B$19,0))="Лабораторна",ISERROR(SEARCH(LEFT(D33,1),INDEX('В08 Каталог'!$D$5:$D$19,MATCH(J33,'В08 Каталог'!$B$5:$B$19,0))))),"Захід не діє на цей тип загрози",IF(AND(INDEX('В08 Каталог'!$C$5:$C$19,MATCH(J33,'В08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IF(J33="","",IFERROR(INDEX('В08 Каталог'!$E$5:$E$19,MATCH(J33,'В08 Каталог'!$B$5:$B$19,0)),""))</f>
        <v/>
      </c>
      <c r="N33" s="22">
        <f>IF(J33="","",IFERROR(INDEX('В08 Каталог'!$C$5:$C$19,MATCH(J33,'В08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природу",IF(AND(INDEX('В08 Каталог'!$C$5:$C$19,MATCH(J34,'В08 Каталог'!$B$5:$B$19,0))="Лабораторна",F34="фізична",INDEX('В08 Каталог'!$A$5:$A$19,MATCH(J34,'В08 Каталог'!$B$5:$B$19,0))&lt;&gt;"L10"),"Мережевий захід не закриває фізичну загрозу",IF(AND(INDEX('В08 Каталог'!$C$5:$C$19,MATCH(J34,'В08 Каталог'!$B$5:$B$19,0))="Лабораторна",ISERROR(SEARCH(LEFT(D34,1),INDEX('В08 Каталог'!$D$5:$D$19,MATCH(J34,'В08 Каталог'!$B$5:$B$19,0))))),"Захід не діє на цей тип загрози",IF(AND(INDEX('В08 Каталог'!$C$5:$C$19,MATCH(J34,'В08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IF(J34="","",IFERROR(INDEX('В08 Каталог'!$E$5:$E$19,MATCH(J34,'В08 Каталог'!$B$5:$B$19,0)),""))</f>
        <v/>
      </c>
      <c r="N34" s="22">
        <f>IF(J34="","",IFERROR(INDEX('В08 Каталог'!$C$5:$C$19,MATCH(J34,'В08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='В08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='В08 Каталог'!$B$5:$B$19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3A7D7B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2"/>
    <row r="3"/>
    <row r="4">
      <c r="A4" s="23" t="inlineStr">
        <is>
          <t>Загроз у таблиці</t>
        </is>
      </c>
      <c r="B4" s="24">
        <f>COUNTA('В08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COUNTIF('В08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COUNTIF('В08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COUNTIF('В08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COUNTIF('В08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COUNTIF('В08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COUNTIF('В08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COUNTIF('В08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COUNTIF('В08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COUNTIF('В08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COUNTIF('В08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COUNTIF('В08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COUNTIF('В08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COUNTIF('В08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SUMPRODUCT(('В08 Загрози і заходи'!I5:I34="Так")*('В08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COUNTIFS('В08 Загрози і заходи'!I5:I34,"Так",'В08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COUNTIF('В08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3A7D7B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3"/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n"/>
      <c r="B5" s="11" t="n"/>
      <c r="C5" s="11" t="n"/>
      <c r="D5" s="11" t="n"/>
    </row>
    <row r="6" ht="70" customHeight="1">
      <c r="A6" s="11" t="n"/>
      <c r="B6" s="11" t="n"/>
      <c r="C6" s="11" t="n"/>
      <c r="D6" s="11" t="n"/>
    </row>
    <row r="7" ht="70" customHeight="1">
      <c r="A7" s="11" t="n"/>
      <c r="B7" s="11" t="n"/>
      <c r="C7" s="11" t="n"/>
      <c r="D7" s="11" t="n"/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1"/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n"/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A61C5D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09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A61C5D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09</t>
        </is>
      </c>
    </row>
    <row r="2"/>
    <row r="3">
      <c r="A3" s="10" t="inlineStr">
        <is>
          <t>Студент (прізвище)</t>
        </is>
      </c>
      <c r="B3" s="11" t="n"/>
    </row>
    <row r="4">
      <c r="A4" s="10" t="inlineStr">
        <is>
          <t>Точка прийому</t>
        </is>
      </c>
      <c r="B4" s="12" t="inlineStr">
        <is>
          <t>вуличний банкомат</t>
        </is>
      </c>
    </row>
    <row r="5">
      <c r="A5" s="10" t="inlineStr">
        <is>
          <t>Підключення точки до мережі</t>
        </is>
      </c>
      <c r="B5" s="12" t="inlineStr">
        <is>
          <t>Ethernet-кабель, прокладений зовні будівлі</t>
        </is>
      </c>
    </row>
    <row r="6">
      <c r="A6" s="10" t="inlineStr">
        <is>
          <t>Зв'язок відділення зі шлюзом</t>
        </is>
      </c>
      <c r="B6" s="12" t="inlineStr">
        <is>
          <t>виділена лінія до головного офісу</t>
        </is>
      </c>
    </row>
    <row r="7">
      <c r="A7" s="10" t="inlineStr">
        <is>
          <t>Особливий учасник</t>
        </is>
      </c>
      <c r="B7" s="12" t="inlineStr">
        <is>
          <t>сервісна компанія терміналів: віддалене оновлення прошивки й діагностика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0"/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n"/>
      <c r="C13" s="15">
        <f>A13&amp;". "&amp;B13</f>
        <v/>
      </c>
    </row>
    <row r="14">
      <c r="A14" s="15" t="inlineStr">
        <is>
          <t>M2</t>
        </is>
      </c>
      <c r="B14" s="11" t="n"/>
      <c r="C14" s="15">
        <f>A14&amp;". "&amp;B14</f>
        <v/>
      </c>
    </row>
    <row r="15">
      <c r="A15" s="15" t="inlineStr">
        <is>
          <t>M3</t>
        </is>
      </c>
      <c r="B15" s="11" t="n"/>
      <c r="C15" s="15">
        <f>A15&amp;". "&amp;B15</f>
        <v/>
      </c>
    </row>
    <row r="16">
      <c r="A16" s="15" t="inlineStr">
        <is>
          <t>M4</t>
        </is>
      </c>
      <c r="B16" s="11" t="n"/>
      <c r="C16" s="15">
        <f>A16&amp;". "&amp;B16</f>
        <v/>
      </c>
    </row>
    <row r="17">
      <c r="A17" s="15" t="inlineStr">
        <is>
          <t>M5</t>
        </is>
      </c>
      <c r="B17" s="11" t="n"/>
      <c r="C17" s="15">
        <f>A17&amp;". "&amp;B17</f>
        <v/>
      </c>
    </row>
    <row r="18">
      <c r="A18" s="15" t="inlineStr">
        <is>
          <t>M6</t>
        </is>
      </c>
      <c r="B18" s="11" t="n"/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A61C5D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3"/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A61C5D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3"/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M1</t>
        </is>
      </c>
      <c r="C5" s="15" t="inlineStr">
        <is>
          <t>R — відмова від дій</t>
        </is>
      </c>
      <c r="D5" s="15" t="inlineStr">
        <is>
          <t>Клієнт заперечує операцію, а повного журналу з точним часом немає</t>
        </is>
      </c>
      <c r="E5" s="15" t="inlineStr">
        <is>
          <t>організаційна</t>
        </is>
      </c>
      <c r="F5" s="15" t="n">
        <v>2</v>
      </c>
      <c r="G5" s="15" t="inlineStr">
        <is>
          <t>ЛР10. Syslog, NTP і моніторинг (лише виявляє)</t>
        </is>
      </c>
    </row>
    <row r="6">
      <c r="A6" s="15" t="n">
        <v>2</v>
      </c>
      <c r="B6" s="15" t="inlineStr">
        <is>
          <t>M2</t>
        </is>
      </c>
      <c r="C6" s="15" t="inlineStr">
        <is>
          <t>T — зміна даних</t>
        </is>
      </c>
      <c r="D6" s="15" t="inlineStr">
        <is>
          <t>Підробний DHCP-сервер видає терміналу чужий шлюз і перехоплює платіжний трафік</t>
        </is>
      </c>
      <c r="E6" s="15" t="inlineStr">
        <is>
          <t>мережева</t>
        </is>
      </c>
      <c r="F6" s="15" t="n">
        <v>2</v>
      </c>
      <c r="G6" s="15" t="inlineStr">
        <is>
          <t>ЛР3. DHCP Snooping</t>
        </is>
      </c>
    </row>
    <row r="7">
      <c r="A7" s="15" t="n">
        <v>3</v>
      </c>
      <c r="B7" s="15" t="inlineStr">
        <is>
          <t>M3</t>
        </is>
      </c>
      <c r="C7" s="15" t="inlineStr">
        <is>
          <t>T — зміна даних</t>
        </is>
      </c>
      <c r="D7" s="15" t="inlineStr">
        <is>
          <t>Встановити IPsec VPN і міжмережевий екран між відділенням і шлюзом</t>
        </is>
      </c>
      <c r="E7" s="15" t="inlineStr">
        <is>
          <t>мережева</t>
        </is>
      </c>
      <c r="F7" s="15" t="n">
        <v>3</v>
      </c>
      <c r="G7" s="15" t="inlineStr">
        <is>
          <t>ЛР7. IPsec VPN між відділенням і головним офісом</t>
        </is>
      </c>
    </row>
    <row r="8">
      <c r="A8" s="15" t="n">
        <v>4</v>
      </c>
      <c r="B8" s="15" t="inlineStr">
        <is>
          <t>M5</t>
        </is>
      </c>
      <c r="C8" s="15" t="inlineStr">
        <is>
          <t>S — підміна</t>
        </is>
      </c>
      <c r="D8" s="15" t="inlineStr">
        <is>
          <t>Підроблений запит до АБС від зламаного шлюзу чи від ПК відділення</t>
        </is>
      </c>
      <c r="E8" s="15" t="inlineStr">
        <is>
          <t>мережева</t>
        </is>
      </c>
      <c r="F8" s="15" t="n">
        <v>3</v>
      </c>
      <c r="G8" s="15" t="inlineStr">
        <is>
          <t>ЛР5. Міжмережевий екран ASA: зони й NAT</t>
        </is>
      </c>
    </row>
    <row r="9">
      <c r="A9" s="15" t="n">
        <v>5</v>
      </c>
      <c r="B9" s="15" t="inlineStr">
        <is>
          <t>M4</t>
        </is>
      </c>
      <c r="C9" s="15" t="inlineStr">
        <is>
          <t>T — зміна даних</t>
        </is>
      </c>
      <c r="D9" s="15" t="inlineStr">
        <is>
          <t>Перехоплення платіжного трафіку в каналі: зловмисник читає передані дані</t>
        </is>
      </c>
      <c r="E9" s="15" t="inlineStr">
        <is>
          <t>мережева</t>
        </is>
      </c>
      <c r="F9" s="15" t="n">
        <v>3</v>
      </c>
      <c r="G9" s="15" t="inlineStr">
        <is>
          <t>ЛР7. IPsec VPN між відділенням і головним офісом</t>
        </is>
      </c>
    </row>
    <row r="10">
      <c r="A10" s="15" t="n">
        <v>6</v>
      </c>
      <c r="B10" s="15" t="inlineStr">
        <is>
          <t>M1</t>
        </is>
      </c>
      <c r="C10" s="15" t="inlineStr">
        <is>
          <t>T — зміна даних</t>
        </is>
      </c>
      <c r="D10" s="15" t="inlineStr">
        <is>
          <t>Скімер на вуличного банкомата: копіює дані картки</t>
        </is>
      </c>
      <c r="E10" s="15" t="inlineStr">
        <is>
          <t>фізична</t>
        </is>
      </c>
      <c r="F10" s="15" t="n">
        <v>3</v>
      </c>
      <c r="G10" s="15" t="inlineStr">
        <is>
          <t>ЛР1. Сегментація VLAN і маршрутизація між ними</t>
        </is>
      </c>
    </row>
    <row r="11">
      <c r="A11" s="15" t="n">
        <v>7</v>
      </c>
      <c r="B11" s="15" t="inlineStr">
        <is>
          <t>M5</t>
        </is>
      </c>
      <c r="C11" s="15" t="inlineStr">
        <is>
          <t>R — відмова від дій</t>
        </is>
      </c>
      <c r="D11" s="15" t="inlineStr">
        <is>
          <t>Шлюз не зберігає журнал: після шахрайства неможливо відновити послідовність подій</t>
        </is>
      </c>
      <c r="E11" s="15" t="inlineStr">
        <is>
          <t>мережева</t>
        </is>
      </c>
      <c r="F11" s="15" t="n">
        <v>2</v>
      </c>
      <c r="G11" s="15" t="inlineStr">
        <is>
          <t>ЛР10. Syslog, NTP і моніторинг (лише виявляє)</t>
        </is>
      </c>
    </row>
    <row r="12"/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n"/>
      <c r="B15" s="11" t="n"/>
      <c r="C15" s="11" t="n"/>
      <c r="D15" s="19" t="n"/>
      <c r="E15" s="19" t="n"/>
      <c r="F15" s="19" t="n"/>
      <c r="G15" s="20" t="n"/>
    </row>
    <row r="16">
      <c r="A16" s="11" t="n"/>
      <c r="B16" s="11" t="n"/>
      <c r="C16" s="11" t="n"/>
      <c r="D16" s="19" t="n"/>
      <c r="E16" s="19" t="n"/>
      <c r="F16" s="19" t="n"/>
      <c r="G16" s="20" t="n"/>
    </row>
    <row r="17">
      <c r="A17" s="11" t="n"/>
      <c r="B17" s="11" t="n"/>
      <c r="C17" s="11" t="n"/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A61C5D"/>
    <outlinePr summaryBelow="1" summaryRight="1"/>
    <pageSetUpPr/>
  </sheetPr>
  <dimension ref="A1:O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3"/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n"/>
      <c r="C5" s="11" t="n"/>
      <c r="D5" s="21" t="n"/>
      <c r="E5" s="11" t="n"/>
      <c r="F5" s="21" t="n"/>
      <c r="G5" s="21" t="n"/>
      <c r="H5" s="11" t="n"/>
      <c r="I5" s="21" t="n"/>
      <c r="J5" s="11" t="n"/>
      <c r="K5" s="11" t="n"/>
      <c r="L5" s="15">
        <f>IF(I5&lt;&gt;"Так","",IF(J5="","Оберіть захід",IF(K5="","Вкажіть, де в мережі",IF(D5="","Оберіть літеру STRIDE",IF(F5="","Вкажіть природу",IF(AND(INDEX('В09 Каталог'!$C$5:$C$19,MATCH(J5,'В09 Каталог'!$B$5:$B$19,0))="Лабораторна",F5="фізична",INDEX('В09 Каталог'!$A$5:$A$19,MATCH(J5,'В09 Каталог'!$B$5:$B$19,0))&lt;&gt;"L10"),"Мережевий захід не закриває фізичну загрозу",IF(AND(INDEX('В09 Каталог'!$C$5:$C$19,MATCH(J5,'В09 Каталог'!$B$5:$B$19,0))="Лабораторна",ISERROR(SEARCH(LEFT(D5,1),INDEX('В09 Каталог'!$D$5:$D$19,MATCH(J5,'В09 Каталог'!$B$5:$B$19,0))))),"Захід не діє на цей тип загрози",IF(AND(INDEX('В09 Каталог'!$C$5:$C$19,MATCH(J5,'В09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IF(J5="","",IFERROR(INDEX('В09 Каталог'!$E$5:$E$19,MATCH(J5,'В09 Каталог'!$B$5:$B$19,0)),""))</f>
        <v/>
      </c>
      <c r="N5" s="22">
        <f>IF(J5="","",IFERROR(INDEX('В09 Каталог'!$C$5:$C$19,MATCH(J5,'В09 Каталог'!$B$5:$B$19,0)),""))</f>
        <v/>
      </c>
      <c r="O5" s="21" t="n"/>
    </row>
    <row r="6">
      <c r="A6" s="15" t="n">
        <v>2</v>
      </c>
      <c r="B6" s="11" t="n"/>
      <c r="C6" s="11" t="n"/>
      <c r="D6" s="21" t="n"/>
      <c r="E6" s="11" t="n"/>
      <c r="F6" s="21" t="n"/>
      <c r="G6" s="21" t="n"/>
      <c r="H6" s="11" t="n"/>
      <c r="I6" s="21" t="n"/>
      <c r="J6" s="11" t="n"/>
      <c r="K6" s="11" t="n"/>
      <c r="L6" s="15">
        <f>IF(I6&lt;&gt;"Так","",IF(J6="","Оберіть захід",IF(K6="","Вкажіть, де в мережі",IF(D6="","Оберіть літеру STRIDE",IF(F6="","Вкажіть природу",IF(AND(INDEX('В09 Каталог'!$C$5:$C$19,MATCH(J6,'В09 Каталог'!$B$5:$B$19,0))="Лабораторна",F6="фізична",INDEX('В09 Каталог'!$A$5:$A$19,MATCH(J6,'В09 Каталог'!$B$5:$B$19,0))&lt;&gt;"L10"),"Мережевий захід не закриває фізичну загрозу",IF(AND(INDEX('В09 Каталог'!$C$5:$C$19,MATCH(J6,'В09 Каталог'!$B$5:$B$19,0))="Лабораторна",ISERROR(SEARCH(LEFT(D6,1),INDEX('В09 Каталог'!$D$5:$D$19,MATCH(J6,'В09 Каталог'!$B$5:$B$19,0))))),"Захід не діє на цей тип загрози",IF(AND(INDEX('В09 Каталог'!$C$5:$C$19,MATCH(J6,'В09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IF(J6="","",IFERROR(INDEX('В09 Каталог'!$E$5:$E$19,MATCH(J6,'В09 Каталог'!$B$5:$B$19,0)),""))</f>
        <v/>
      </c>
      <c r="N6" s="22">
        <f>IF(J6="","",IFERROR(INDEX('В09 Каталог'!$C$5:$C$19,MATCH(J6,'В09 Каталог'!$B$5:$B$19,0)),""))</f>
        <v/>
      </c>
      <c r="O6" s="21" t="n"/>
    </row>
    <row r="7">
      <c r="A7" s="15" t="n">
        <v>3</v>
      </c>
      <c r="B7" s="11" t="n"/>
      <c r="C7" s="11" t="n"/>
      <c r="D7" s="21" t="n"/>
      <c r="E7" s="11" t="n"/>
      <c r="F7" s="21" t="n"/>
      <c r="G7" s="21" t="n"/>
      <c r="H7" s="11" t="n"/>
      <c r="I7" s="21" t="n"/>
      <c r="J7" s="11" t="n"/>
      <c r="K7" s="11" t="n"/>
      <c r="L7" s="15">
        <f>IF(I7&lt;&gt;"Так","",IF(J7="","Оберіть захід",IF(K7="","Вкажіть, де в мережі",IF(D7="","Оберіть літеру STRIDE",IF(F7="","Вкажіть природу",IF(AND(INDEX('В09 Каталог'!$C$5:$C$19,MATCH(J7,'В09 Каталог'!$B$5:$B$19,0))="Лабораторна",F7="фізична",INDEX('В09 Каталог'!$A$5:$A$19,MATCH(J7,'В09 Каталог'!$B$5:$B$19,0))&lt;&gt;"L10"),"Мережевий захід не закриває фізичну загрозу",IF(AND(INDEX('В09 Каталог'!$C$5:$C$19,MATCH(J7,'В09 Каталог'!$B$5:$B$19,0))="Лабораторна",ISERROR(SEARCH(LEFT(D7,1),INDEX('В09 Каталог'!$D$5:$D$19,MATCH(J7,'В09 Каталог'!$B$5:$B$19,0))))),"Захід не діє на цей тип загрози",IF(AND(INDEX('В09 Каталог'!$C$5:$C$19,MATCH(J7,'В09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IF(J7="","",IFERROR(INDEX('В09 Каталог'!$E$5:$E$19,MATCH(J7,'В09 Каталог'!$B$5:$B$19,0)),""))</f>
        <v/>
      </c>
      <c r="N7" s="22">
        <f>IF(J7="","",IFERROR(INDEX('В09 Каталог'!$C$5:$C$19,MATCH(J7,'В09 Каталог'!$B$5:$B$19,0)),""))</f>
        <v/>
      </c>
      <c r="O7" s="21" t="n"/>
    </row>
    <row r="8">
      <c r="A8" s="15" t="n">
        <v>4</v>
      </c>
      <c r="B8" s="11" t="n"/>
      <c r="C8" s="11" t="n"/>
      <c r="D8" s="21" t="n"/>
      <c r="E8" s="11" t="n"/>
      <c r="F8" s="21" t="n"/>
      <c r="G8" s="21" t="n"/>
      <c r="H8" s="11" t="n"/>
      <c r="I8" s="21" t="n"/>
      <c r="J8" s="11" t="n"/>
      <c r="K8" s="11" t="n"/>
      <c r="L8" s="15">
        <f>IF(I8&lt;&gt;"Так","",IF(J8="","Оберіть захід",IF(K8="","Вкажіть, де в мережі",IF(D8="","Оберіть літеру STRIDE",IF(F8="","Вкажіть природу",IF(AND(INDEX('В09 Каталог'!$C$5:$C$19,MATCH(J8,'В09 Каталог'!$B$5:$B$19,0))="Лабораторна",F8="фізична",INDEX('В09 Каталог'!$A$5:$A$19,MATCH(J8,'В09 Каталог'!$B$5:$B$19,0))&lt;&gt;"L10"),"Мережевий захід не закриває фізичну загрозу",IF(AND(INDEX('В09 Каталог'!$C$5:$C$19,MATCH(J8,'В09 Каталог'!$B$5:$B$19,0))="Лабораторна",ISERROR(SEARCH(LEFT(D8,1),INDEX('В09 Каталог'!$D$5:$D$19,MATCH(J8,'В09 Каталог'!$B$5:$B$19,0))))),"Захід не діє на цей тип загрози",IF(AND(INDEX('В09 Каталог'!$C$5:$C$19,MATCH(J8,'В09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IF(J8="","",IFERROR(INDEX('В09 Каталог'!$E$5:$E$19,MATCH(J8,'В09 Каталог'!$B$5:$B$19,0)),""))</f>
        <v/>
      </c>
      <c r="N8" s="22">
        <f>IF(J8="","",IFERROR(INDEX('В09 Каталог'!$C$5:$C$19,MATCH(J8,'В09 Каталог'!$B$5:$B$19,0)),""))</f>
        <v/>
      </c>
      <c r="O8" s="21" t="n"/>
    </row>
    <row r="9">
      <c r="A9" s="15" t="n">
        <v>5</v>
      </c>
      <c r="B9" s="11" t="n"/>
      <c r="C9" s="11" t="n"/>
      <c r="D9" s="21" t="n"/>
      <c r="E9" s="11" t="n"/>
      <c r="F9" s="21" t="n"/>
      <c r="G9" s="21" t="n"/>
      <c r="H9" s="11" t="n"/>
      <c r="I9" s="21" t="n"/>
      <c r="J9" s="11" t="n"/>
      <c r="K9" s="11" t="n"/>
      <c r="L9" s="15">
        <f>IF(I9&lt;&gt;"Так","",IF(J9="","Оберіть захід",IF(K9="","Вкажіть, де в мережі",IF(D9="","Оберіть літеру STRIDE",IF(F9="","Вкажіть природу",IF(AND(INDEX('В09 Каталог'!$C$5:$C$19,MATCH(J9,'В09 Каталог'!$B$5:$B$19,0))="Лабораторна",F9="фізична",INDEX('В09 Каталог'!$A$5:$A$19,MATCH(J9,'В09 Каталог'!$B$5:$B$19,0))&lt;&gt;"L10"),"Мережевий захід не закриває фізичну загрозу",IF(AND(INDEX('В09 Каталог'!$C$5:$C$19,MATCH(J9,'В09 Каталог'!$B$5:$B$19,0))="Лабораторна",ISERROR(SEARCH(LEFT(D9,1),INDEX('В09 Каталог'!$D$5:$D$19,MATCH(J9,'В09 Каталог'!$B$5:$B$19,0))))),"Захід не діє на цей тип загрози",IF(AND(INDEX('В09 Каталог'!$C$5:$C$19,MATCH(J9,'В09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IF(J9="","",IFERROR(INDEX('В09 Каталог'!$E$5:$E$19,MATCH(J9,'В09 Каталог'!$B$5:$B$19,0)),""))</f>
        <v/>
      </c>
      <c r="N9" s="22">
        <f>IF(J9="","",IFERROR(INDEX('В09 Каталог'!$C$5:$C$19,MATCH(J9,'В09 Каталог'!$B$5:$B$19,0)),""))</f>
        <v/>
      </c>
      <c r="O9" s="21" t="n"/>
    </row>
    <row r="10">
      <c r="A10" s="15" t="n">
        <v>6</v>
      </c>
      <c r="B10" s="11" t="n"/>
      <c r="C10" s="11" t="n"/>
      <c r="D10" s="21" t="n"/>
      <c r="E10" s="11" t="n"/>
      <c r="F10" s="21" t="n"/>
      <c r="G10" s="21" t="n"/>
      <c r="H10" s="11" t="n"/>
      <c r="I10" s="21" t="n"/>
      <c r="J10" s="11" t="n"/>
      <c r="K10" s="11" t="n"/>
      <c r="L10" s="15">
        <f>IF(I10&lt;&gt;"Так","",IF(J10="","Оберіть захід",IF(K10="","Вкажіть, де в мережі",IF(D10="","Оберіть літеру STRIDE",IF(F10="","Вкажіть природу",IF(AND(INDEX('В09 Каталог'!$C$5:$C$19,MATCH(J10,'В09 Каталог'!$B$5:$B$19,0))="Лабораторна",F10="фізична",INDEX('В09 Каталог'!$A$5:$A$19,MATCH(J10,'В09 Каталог'!$B$5:$B$19,0))&lt;&gt;"L10"),"Мережевий захід не закриває фізичну загрозу",IF(AND(INDEX('В09 Каталог'!$C$5:$C$19,MATCH(J10,'В09 Каталог'!$B$5:$B$19,0))="Лабораторна",ISERROR(SEARCH(LEFT(D10,1),INDEX('В09 Каталог'!$D$5:$D$19,MATCH(J10,'В09 Каталог'!$B$5:$B$19,0))))),"Захід не діє на цей тип загрози",IF(AND(INDEX('В09 Каталог'!$C$5:$C$19,MATCH(J10,'В09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IF(J10="","",IFERROR(INDEX('В09 Каталог'!$E$5:$E$19,MATCH(J10,'В09 Каталог'!$B$5:$B$19,0)),""))</f>
        <v/>
      </c>
      <c r="N10" s="22">
        <f>IF(J10="","",IFERROR(INDEX('В09 Каталог'!$C$5:$C$19,MATCH(J10,'В09 Каталог'!$B$5:$B$19,0)),""))</f>
        <v/>
      </c>
      <c r="O10" s="21" t="n"/>
    </row>
    <row r="11">
      <c r="A11" s="15" t="n">
        <v>7</v>
      </c>
      <c r="B11" s="11" t="n"/>
      <c r="C11" s="11" t="n"/>
      <c r="D11" s="21" t="n"/>
      <c r="E11" s="11" t="n"/>
      <c r="F11" s="21" t="n"/>
      <c r="G11" s="21" t="n"/>
      <c r="H11" s="11" t="n"/>
      <c r="I11" s="21" t="n"/>
      <c r="J11" s="11" t="n"/>
      <c r="K11" s="11" t="n"/>
      <c r="L11" s="15">
        <f>IF(I11&lt;&gt;"Так","",IF(J11="","Оберіть захід",IF(K11="","Вкажіть, де в мережі",IF(D11="","Оберіть літеру STRIDE",IF(F11="","Вкажіть природу",IF(AND(INDEX('В09 Каталог'!$C$5:$C$19,MATCH(J11,'В09 Каталог'!$B$5:$B$19,0))="Лабораторна",F11="фізична",INDEX('В09 Каталог'!$A$5:$A$19,MATCH(J11,'В09 Каталог'!$B$5:$B$19,0))&lt;&gt;"L10"),"Мережевий захід не закриває фізичну загрозу",IF(AND(INDEX('В09 Каталог'!$C$5:$C$19,MATCH(J11,'В09 Каталог'!$B$5:$B$19,0))="Лабораторна",ISERROR(SEARCH(LEFT(D11,1),INDEX('В09 Каталог'!$D$5:$D$19,MATCH(J11,'В09 Каталог'!$B$5:$B$19,0))))),"Захід не діє на цей тип загрози",IF(AND(INDEX('В09 Каталог'!$C$5:$C$19,MATCH(J11,'В09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IF(J11="","",IFERROR(INDEX('В09 Каталог'!$E$5:$E$19,MATCH(J11,'В09 Каталог'!$B$5:$B$19,0)),""))</f>
        <v/>
      </c>
      <c r="N11" s="22">
        <f>IF(J11="","",IFERROR(INDEX('В09 Каталог'!$C$5:$C$19,MATCH(J11,'В09 Каталог'!$B$5:$B$19,0)),""))</f>
        <v/>
      </c>
      <c r="O11" s="21" t="n"/>
    </row>
    <row r="12">
      <c r="A12" s="15" t="n">
        <v>8</v>
      </c>
      <c r="B12" s="11" t="n"/>
      <c r="C12" s="11" t="n"/>
      <c r="D12" s="21" t="n"/>
      <c r="E12" s="11" t="n"/>
      <c r="F12" s="21" t="n"/>
      <c r="G12" s="21" t="n"/>
      <c r="H12" s="11" t="n"/>
      <c r="I12" s="21" t="n"/>
      <c r="J12" s="11" t="n"/>
      <c r="K12" s="11" t="n"/>
      <c r="L12" s="15">
        <f>IF(I12&lt;&gt;"Так","",IF(J12="","Оберіть захід",IF(K12="","Вкажіть, де в мережі",IF(D12="","Оберіть літеру STRIDE",IF(F12="","Вкажіть природу",IF(AND(INDEX('В09 Каталог'!$C$5:$C$19,MATCH(J12,'В09 Каталог'!$B$5:$B$19,0))="Лабораторна",F12="фізична",INDEX('В09 Каталог'!$A$5:$A$19,MATCH(J12,'В09 Каталог'!$B$5:$B$19,0))&lt;&gt;"L10"),"Мережевий захід не закриває фізичну загрозу",IF(AND(INDEX('В09 Каталог'!$C$5:$C$19,MATCH(J12,'В09 Каталог'!$B$5:$B$19,0))="Лабораторна",ISERROR(SEARCH(LEFT(D12,1),INDEX('В09 Каталог'!$D$5:$D$19,MATCH(J12,'В09 Каталог'!$B$5:$B$19,0))))),"Захід не діє на цей тип загрози",IF(AND(INDEX('В09 Каталог'!$C$5:$C$19,MATCH(J12,'В09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IF(J12="","",IFERROR(INDEX('В09 Каталог'!$E$5:$E$19,MATCH(J12,'В09 Каталог'!$B$5:$B$19,0)),""))</f>
        <v/>
      </c>
      <c r="N12" s="22">
        <f>IF(J12="","",IFERROR(INDEX('В09 Каталог'!$C$5:$C$19,MATCH(J12,'В09 Каталог'!$B$5:$B$19,0)),""))</f>
        <v/>
      </c>
      <c r="O12" s="21" t="n"/>
    </row>
    <row r="13">
      <c r="A13" s="15" t="n">
        <v>9</v>
      </c>
      <c r="B13" s="11" t="n"/>
      <c r="C13" s="11" t="n"/>
      <c r="D13" s="21" t="n"/>
      <c r="E13" s="11" t="n"/>
      <c r="F13" s="21" t="n"/>
      <c r="G13" s="21" t="n"/>
      <c r="H13" s="11" t="n"/>
      <c r="I13" s="21" t="n"/>
      <c r="J13" s="11" t="n"/>
      <c r="K13" s="11" t="n"/>
      <c r="L13" s="15">
        <f>IF(I13&lt;&gt;"Так","",IF(J13="","Оберіть захід",IF(K13="","Вкажіть, де в мережі",IF(D13="","Оберіть літеру STRIDE",IF(F13="","Вкажіть природу",IF(AND(INDEX('В09 Каталог'!$C$5:$C$19,MATCH(J13,'В09 Каталог'!$B$5:$B$19,0))="Лабораторна",F13="фізична",INDEX('В09 Каталог'!$A$5:$A$19,MATCH(J13,'В09 Каталог'!$B$5:$B$19,0))&lt;&gt;"L10"),"Мережевий захід не закриває фізичну загрозу",IF(AND(INDEX('В09 Каталог'!$C$5:$C$19,MATCH(J13,'В09 Каталог'!$B$5:$B$19,0))="Лабораторна",ISERROR(SEARCH(LEFT(D13,1),INDEX('В09 Каталог'!$D$5:$D$19,MATCH(J13,'В09 Каталог'!$B$5:$B$19,0))))),"Захід не діє на цей тип загрози",IF(AND(INDEX('В09 Каталог'!$C$5:$C$19,MATCH(J13,'В09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IF(J13="","",IFERROR(INDEX('В09 Каталог'!$E$5:$E$19,MATCH(J13,'В09 Каталог'!$B$5:$B$19,0)),""))</f>
        <v/>
      </c>
      <c r="N13" s="22">
        <f>IF(J13="","",IFERROR(INDEX('В09 Каталог'!$C$5:$C$19,MATCH(J13,'В09 Каталог'!$B$5:$B$19,0)),""))</f>
        <v/>
      </c>
      <c r="O13" s="21" t="n"/>
    </row>
    <row r="14">
      <c r="A14" s="15" t="n">
        <v>10</v>
      </c>
      <c r="B14" s="11" t="n"/>
      <c r="C14" s="11" t="n"/>
      <c r="D14" s="21" t="n"/>
      <c r="E14" s="11" t="n"/>
      <c r="F14" s="21" t="n"/>
      <c r="G14" s="21" t="n"/>
      <c r="H14" s="11" t="n"/>
      <c r="I14" s="21" t="n"/>
      <c r="J14" s="11" t="n"/>
      <c r="K14" s="11" t="n"/>
      <c r="L14" s="15">
        <f>IF(I14&lt;&gt;"Так","",IF(J14="","Оберіть захід",IF(K14="","Вкажіть, де в мережі",IF(D14="","Оберіть літеру STRIDE",IF(F14="","Вкажіть природу",IF(AND(INDEX('В09 Каталог'!$C$5:$C$19,MATCH(J14,'В09 Каталог'!$B$5:$B$19,0))="Лабораторна",F14="фізична",INDEX('В09 Каталог'!$A$5:$A$19,MATCH(J14,'В09 Каталог'!$B$5:$B$19,0))&lt;&gt;"L10"),"Мережевий захід не закриває фізичну загрозу",IF(AND(INDEX('В09 Каталог'!$C$5:$C$19,MATCH(J14,'В09 Каталог'!$B$5:$B$19,0))="Лабораторна",ISERROR(SEARCH(LEFT(D14,1),INDEX('В09 Каталог'!$D$5:$D$19,MATCH(J14,'В09 Каталог'!$B$5:$B$19,0))))),"Захід не діє на цей тип загрози",IF(AND(INDEX('В09 Каталог'!$C$5:$C$19,MATCH(J14,'В09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IF(J14="","",IFERROR(INDEX('В09 Каталог'!$E$5:$E$19,MATCH(J14,'В09 Каталог'!$B$5:$B$19,0)),""))</f>
        <v/>
      </c>
      <c r="N14" s="22">
        <f>IF(J14="","",IFERROR(INDEX('В09 Каталог'!$C$5:$C$19,MATCH(J14,'В09 Каталог'!$B$5:$B$19,0)),""))</f>
        <v/>
      </c>
      <c r="O14" s="21" t="n"/>
    </row>
    <row r="15">
      <c r="A15" s="15" t="n">
        <v>11</v>
      </c>
      <c r="B15" s="11" t="n"/>
      <c r="C15" s="11" t="n"/>
      <c r="D15" s="21" t="n"/>
      <c r="E15" s="11" t="n"/>
      <c r="F15" s="21" t="n"/>
      <c r="G15" s="21" t="n"/>
      <c r="H15" s="11" t="n"/>
      <c r="I15" s="21" t="n"/>
      <c r="J15" s="11" t="n"/>
      <c r="K15" s="11" t="n"/>
      <c r="L15" s="15">
        <f>IF(I15&lt;&gt;"Так","",IF(J15="","Оберіть захід",IF(K15="","Вкажіть, де в мережі",IF(D15="","Оберіть літеру STRIDE",IF(F15="","Вкажіть природу",IF(AND(INDEX('В09 Каталог'!$C$5:$C$19,MATCH(J15,'В09 Каталог'!$B$5:$B$19,0))="Лабораторна",F15="фізична",INDEX('В09 Каталог'!$A$5:$A$19,MATCH(J15,'В09 Каталог'!$B$5:$B$19,0))&lt;&gt;"L10"),"Мережевий захід не закриває фізичну загрозу",IF(AND(INDEX('В09 Каталог'!$C$5:$C$19,MATCH(J15,'В09 Каталог'!$B$5:$B$19,0))="Лабораторна",ISERROR(SEARCH(LEFT(D15,1),INDEX('В09 Каталог'!$D$5:$D$19,MATCH(J15,'В09 Каталог'!$B$5:$B$19,0))))),"Захід не діє на цей тип загрози",IF(AND(INDEX('В09 Каталог'!$C$5:$C$19,MATCH(J15,'В09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IF(J15="","",IFERROR(INDEX('В09 Каталог'!$E$5:$E$19,MATCH(J15,'В09 Каталог'!$B$5:$B$19,0)),""))</f>
        <v/>
      </c>
      <c r="N15" s="22">
        <f>IF(J15="","",IFERROR(INDEX('В09 Каталог'!$C$5:$C$19,MATCH(J15,'В09 Каталог'!$B$5:$B$19,0)),""))</f>
        <v/>
      </c>
      <c r="O15" s="21" t="n"/>
    </row>
    <row r="16">
      <c r="A16" s="15" t="n">
        <v>12</v>
      </c>
      <c r="B16" s="11" t="n"/>
      <c r="C16" s="11" t="n"/>
      <c r="D16" s="21" t="n"/>
      <c r="E16" s="11" t="n"/>
      <c r="F16" s="21" t="n"/>
      <c r="G16" s="21" t="n"/>
      <c r="H16" s="11" t="n"/>
      <c r="I16" s="21" t="n"/>
      <c r="J16" s="11" t="n"/>
      <c r="K16" s="11" t="n"/>
      <c r="L16" s="15">
        <f>IF(I16&lt;&gt;"Так","",IF(J16="","Оберіть захід",IF(K16="","Вкажіть, де в мережі",IF(D16="","Оберіть літеру STRIDE",IF(F16="","Вкажіть природу",IF(AND(INDEX('В09 Каталог'!$C$5:$C$19,MATCH(J16,'В09 Каталог'!$B$5:$B$19,0))="Лабораторна",F16="фізична",INDEX('В09 Каталог'!$A$5:$A$19,MATCH(J16,'В09 Каталог'!$B$5:$B$19,0))&lt;&gt;"L10"),"Мережевий захід не закриває фізичну загрозу",IF(AND(INDEX('В09 Каталог'!$C$5:$C$19,MATCH(J16,'В09 Каталог'!$B$5:$B$19,0))="Лабораторна",ISERROR(SEARCH(LEFT(D16,1),INDEX('В09 Каталог'!$D$5:$D$19,MATCH(J16,'В09 Каталог'!$B$5:$B$19,0))))),"Захід не діє на цей тип загрози",IF(AND(INDEX('В09 Каталог'!$C$5:$C$19,MATCH(J16,'В09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IF(J16="","",IFERROR(INDEX('В09 Каталог'!$E$5:$E$19,MATCH(J16,'В09 Каталог'!$B$5:$B$19,0)),""))</f>
        <v/>
      </c>
      <c r="N16" s="22">
        <f>IF(J16="","",IFERROR(INDEX('В09 Каталог'!$C$5:$C$19,MATCH(J16,'В09 Каталог'!$B$5:$B$19,0)),""))</f>
        <v/>
      </c>
      <c r="O16" s="21" t="n"/>
    </row>
    <row r="17">
      <c r="A17" s="15" t="n">
        <v>13</v>
      </c>
      <c r="B17" s="11" t="n"/>
      <c r="C17" s="11" t="n"/>
      <c r="D17" s="21" t="n"/>
      <c r="E17" s="11" t="n"/>
      <c r="F17" s="21" t="n"/>
      <c r="G17" s="21" t="n"/>
      <c r="H17" s="11" t="n"/>
      <c r="I17" s="21" t="n"/>
      <c r="J17" s="11" t="n"/>
      <c r="K17" s="11" t="n"/>
      <c r="L17" s="15">
        <f>IF(I17&lt;&gt;"Так","",IF(J17="","Оберіть захід",IF(K17="","Вкажіть, де в мережі",IF(D17="","Оберіть літеру STRIDE",IF(F17="","Вкажіть природу",IF(AND(INDEX('В09 Каталог'!$C$5:$C$19,MATCH(J17,'В09 Каталог'!$B$5:$B$19,0))="Лабораторна",F17="фізична",INDEX('В09 Каталог'!$A$5:$A$19,MATCH(J17,'В09 Каталог'!$B$5:$B$19,0))&lt;&gt;"L10"),"Мережевий захід не закриває фізичну загрозу",IF(AND(INDEX('В09 Каталог'!$C$5:$C$19,MATCH(J17,'В09 Каталог'!$B$5:$B$19,0))="Лабораторна",ISERROR(SEARCH(LEFT(D17,1),INDEX('В09 Каталог'!$D$5:$D$19,MATCH(J17,'В09 Каталог'!$B$5:$B$19,0))))),"Захід не діє на цей тип загрози",IF(AND(INDEX('В09 Каталог'!$C$5:$C$19,MATCH(J17,'В09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IF(J17="","",IFERROR(INDEX('В09 Каталог'!$E$5:$E$19,MATCH(J17,'В09 Каталог'!$B$5:$B$19,0)),""))</f>
        <v/>
      </c>
      <c r="N17" s="22">
        <f>IF(J17="","",IFERROR(INDEX('В09 Каталог'!$C$5:$C$19,MATCH(J17,'В09 Каталог'!$B$5:$B$19,0)),""))</f>
        <v/>
      </c>
      <c r="O17" s="21" t="n"/>
    </row>
    <row r="18">
      <c r="A18" s="15" t="n">
        <v>14</v>
      </c>
      <c r="B18" s="11" t="n"/>
      <c r="C18" s="11" t="n"/>
      <c r="D18" s="21" t="n"/>
      <c r="E18" s="11" t="n"/>
      <c r="F18" s="21" t="n"/>
      <c r="G18" s="21" t="n"/>
      <c r="H18" s="11" t="n"/>
      <c r="I18" s="21" t="n"/>
      <c r="J18" s="11" t="n"/>
      <c r="K18" s="11" t="n"/>
      <c r="L18" s="15">
        <f>IF(I18&lt;&gt;"Так","",IF(J18="","Оберіть захід",IF(K18="","Вкажіть, де в мережі",IF(D18="","Оберіть літеру STRIDE",IF(F18="","Вкажіть природу",IF(AND(INDEX('В09 Каталог'!$C$5:$C$19,MATCH(J18,'В09 Каталог'!$B$5:$B$19,0))="Лабораторна",F18="фізична",INDEX('В09 Каталог'!$A$5:$A$19,MATCH(J18,'В09 Каталог'!$B$5:$B$19,0))&lt;&gt;"L10"),"Мережевий захід не закриває фізичну загрозу",IF(AND(INDEX('В09 Каталог'!$C$5:$C$19,MATCH(J18,'В09 Каталог'!$B$5:$B$19,0))="Лабораторна",ISERROR(SEARCH(LEFT(D18,1),INDEX('В09 Каталог'!$D$5:$D$19,MATCH(J18,'В09 Каталог'!$B$5:$B$19,0))))),"Захід не діє на цей тип загрози",IF(AND(INDEX('В09 Каталог'!$C$5:$C$19,MATCH(J18,'В09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IF(J18="","",IFERROR(INDEX('В09 Каталог'!$E$5:$E$19,MATCH(J18,'В09 Каталог'!$B$5:$B$19,0)),""))</f>
        <v/>
      </c>
      <c r="N18" s="22">
        <f>IF(J18="","",IFERROR(INDEX('В09 Каталог'!$C$5:$C$19,MATCH(J18,'В09 Каталог'!$B$5:$B$19,0)),""))</f>
        <v/>
      </c>
      <c r="O18" s="21" t="n"/>
    </row>
    <row r="19">
      <c r="A19" s="15" t="n">
        <v>15</v>
      </c>
      <c r="B19" s="11" t="n"/>
      <c r="C19" s="11" t="n"/>
      <c r="D19" s="21" t="n"/>
      <c r="E19" s="11" t="n"/>
      <c r="F19" s="21" t="n"/>
      <c r="G19" s="21" t="n"/>
      <c r="H19" s="11" t="n"/>
      <c r="I19" s="21" t="n"/>
      <c r="J19" s="11" t="n"/>
      <c r="K19" s="11" t="n"/>
      <c r="L19" s="15">
        <f>IF(I19&lt;&gt;"Так","",IF(J19="","Оберіть захід",IF(K19="","Вкажіть, де в мережі",IF(D19="","Оберіть літеру STRIDE",IF(F19="","Вкажіть природу",IF(AND(INDEX('В09 Каталог'!$C$5:$C$19,MATCH(J19,'В09 Каталог'!$B$5:$B$19,0))="Лабораторна",F19="фізична",INDEX('В09 Каталог'!$A$5:$A$19,MATCH(J19,'В09 Каталог'!$B$5:$B$19,0))&lt;&gt;"L10"),"Мережевий захід не закриває фізичну загрозу",IF(AND(INDEX('В09 Каталог'!$C$5:$C$19,MATCH(J19,'В09 Каталог'!$B$5:$B$19,0))="Лабораторна",ISERROR(SEARCH(LEFT(D19,1),INDEX('В09 Каталог'!$D$5:$D$19,MATCH(J19,'В09 Каталог'!$B$5:$B$19,0))))),"Захід не діє на цей тип загрози",IF(AND(INDEX('В09 Каталог'!$C$5:$C$19,MATCH(J19,'В09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IF(J19="","",IFERROR(INDEX('В09 Каталог'!$E$5:$E$19,MATCH(J19,'В09 Каталог'!$B$5:$B$19,0)),""))</f>
        <v/>
      </c>
      <c r="N19" s="22">
        <f>IF(J19="","",IFERROR(INDEX('В09 Каталог'!$C$5:$C$19,MATCH(J19,'В09 Каталог'!$B$5:$B$19,0)),""))</f>
        <v/>
      </c>
      <c r="O19" s="21" t="n"/>
    </row>
    <row r="20">
      <c r="A20" s="15" t="n">
        <v>16</v>
      </c>
      <c r="B20" s="11" t="n"/>
      <c r="C20" s="11" t="n"/>
      <c r="D20" s="21" t="n"/>
      <c r="E20" s="11" t="n"/>
      <c r="F20" s="21" t="n"/>
      <c r="G20" s="21" t="n"/>
      <c r="H20" s="11" t="n"/>
      <c r="I20" s="21" t="n"/>
      <c r="J20" s="11" t="n"/>
      <c r="K20" s="11" t="n"/>
      <c r="L20" s="15">
        <f>IF(I20&lt;&gt;"Так","",IF(J20="","Оберіть захід",IF(K20="","Вкажіть, де в мережі",IF(D20="","Оберіть літеру STRIDE",IF(F20="","Вкажіть природу",IF(AND(INDEX('В09 Каталог'!$C$5:$C$19,MATCH(J20,'В09 Каталог'!$B$5:$B$19,0))="Лабораторна",F20="фізична",INDEX('В09 Каталог'!$A$5:$A$19,MATCH(J20,'В09 Каталог'!$B$5:$B$19,0))&lt;&gt;"L10"),"Мережевий захід не закриває фізичну загрозу",IF(AND(INDEX('В09 Каталог'!$C$5:$C$19,MATCH(J20,'В09 Каталог'!$B$5:$B$19,0))="Лабораторна",ISERROR(SEARCH(LEFT(D20,1),INDEX('В09 Каталог'!$D$5:$D$19,MATCH(J20,'В09 Каталог'!$B$5:$B$19,0))))),"Захід не діє на цей тип загрози",IF(AND(INDEX('В09 Каталог'!$C$5:$C$19,MATCH(J20,'В09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IF(J20="","",IFERROR(INDEX('В09 Каталог'!$E$5:$E$19,MATCH(J20,'В09 Каталог'!$B$5:$B$19,0)),""))</f>
        <v/>
      </c>
      <c r="N20" s="22">
        <f>IF(J20="","",IFERROR(INDEX('В09 Каталог'!$C$5:$C$19,MATCH(J20,'В09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природу",IF(AND(INDEX('В09 Каталог'!$C$5:$C$19,MATCH(J21,'В09 Каталог'!$B$5:$B$19,0))="Лабораторна",F21="фізична",INDEX('В09 Каталог'!$A$5:$A$19,MATCH(J21,'В09 Каталог'!$B$5:$B$19,0))&lt;&gt;"L10"),"Мережевий захід не закриває фізичну загрозу",IF(AND(INDEX('В09 Каталог'!$C$5:$C$19,MATCH(J21,'В09 Каталог'!$B$5:$B$19,0))="Лабораторна",ISERROR(SEARCH(LEFT(D21,1),INDEX('В09 Каталог'!$D$5:$D$19,MATCH(J21,'В09 Каталог'!$B$5:$B$19,0))))),"Захід не діє на цей тип загрози",IF(AND(INDEX('В09 Каталог'!$C$5:$C$19,MATCH(J21,'В09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IF(J21="","",IFERROR(INDEX('В09 Каталог'!$E$5:$E$19,MATCH(J21,'В09 Каталог'!$B$5:$B$19,0)),""))</f>
        <v/>
      </c>
      <c r="N21" s="22">
        <f>IF(J21="","",IFERROR(INDEX('В09 Каталог'!$C$5:$C$19,MATCH(J21,'В09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природу",IF(AND(INDEX('В09 Каталог'!$C$5:$C$19,MATCH(J22,'В09 Каталог'!$B$5:$B$19,0))="Лабораторна",F22="фізична",INDEX('В09 Каталог'!$A$5:$A$19,MATCH(J22,'В09 Каталог'!$B$5:$B$19,0))&lt;&gt;"L10"),"Мережевий захід не закриває фізичну загрозу",IF(AND(INDEX('В09 Каталог'!$C$5:$C$19,MATCH(J22,'В09 Каталог'!$B$5:$B$19,0))="Лабораторна",ISERROR(SEARCH(LEFT(D22,1),INDEX('В09 Каталог'!$D$5:$D$19,MATCH(J22,'В09 Каталог'!$B$5:$B$19,0))))),"Захід не діє на цей тип загрози",IF(AND(INDEX('В09 Каталог'!$C$5:$C$19,MATCH(J22,'В09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IF(J22="","",IFERROR(INDEX('В09 Каталог'!$E$5:$E$19,MATCH(J22,'В09 Каталог'!$B$5:$B$19,0)),""))</f>
        <v/>
      </c>
      <c r="N22" s="22">
        <f>IF(J22="","",IFERROR(INDEX('В09 Каталог'!$C$5:$C$19,MATCH(J22,'В09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природу",IF(AND(INDEX('В09 Каталог'!$C$5:$C$19,MATCH(J23,'В09 Каталог'!$B$5:$B$19,0))="Лабораторна",F23="фізична",INDEX('В09 Каталог'!$A$5:$A$19,MATCH(J23,'В09 Каталог'!$B$5:$B$19,0))&lt;&gt;"L10"),"Мережевий захід не закриває фізичну загрозу",IF(AND(INDEX('В09 Каталог'!$C$5:$C$19,MATCH(J23,'В09 Каталог'!$B$5:$B$19,0))="Лабораторна",ISERROR(SEARCH(LEFT(D23,1),INDEX('В09 Каталог'!$D$5:$D$19,MATCH(J23,'В09 Каталог'!$B$5:$B$19,0))))),"Захід не діє на цей тип загрози",IF(AND(INDEX('В09 Каталог'!$C$5:$C$19,MATCH(J23,'В09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IF(J23="","",IFERROR(INDEX('В09 Каталог'!$E$5:$E$19,MATCH(J23,'В09 Каталог'!$B$5:$B$19,0)),""))</f>
        <v/>
      </c>
      <c r="N23" s="22">
        <f>IF(J23="","",IFERROR(INDEX('В09 Каталог'!$C$5:$C$19,MATCH(J23,'В09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природу",IF(AND(INDEX('В09 Каталог'!$C$5:$C$19,MATCH(J24,'В09 Каталог'!$B$5:$B$19,0))="Лабораторна",F24="фізична",INDEX('В09 Каталог'!$A$5:$A$19,MATCH(J24,'В09 Каталог'!$B$5:$B$19,0))&lt;&gt;"L10"),"Мережевий захід не закриває фізичну загрозу",IF(AND(INDEX('В09 Каталог'!$C$5:$C$19,MATCH(J24,'В09 Каталог'!$B$5:$B$19,0))="Лабораторна",ISERROR(SEARCH(LEFT(D24,1),INDEX('В09 Каталог'!$D$5:$D$19,MATCH(J24,'В09 Каталог'!$B$5:$B$19,0))))),"Захід не діє на цей тип загрози",IF(AND(INDEX('В09 Каталог'!$C$5:$C$19,MATCH(J24,'В09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IF(J24="","",IFERROR(INDEX('В09 Каталог'!$E$5:$E$19,MATCH(J24,'В09 Каталог'!$B$5:$B$19,0)),""))</f>
        <v/>
      </c>
      <c r="N24" s="22">
        <f>IF(J24="","",IFERROR(INDEX('В09 Каталог'!$C$5:$C$19,MATCH(J24,'В09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природу",IF(AND(INDEX('В09 Каталог'!$C$5:$C$19,MATCH(J25,'В09 Каталог'!$B$5:$B$19,0))="Лабораторна",F25="фізична",INDEX('В09 Каталог'!$A$5:$A$19,MATCH(J25,'В09 Каталог'!$B$5:$B$19,0))&lt;&gt;"L10"),"Мережевий захід не закриває фізичну загрозу",IF(AND(INDEX('В09 Каталог'!$C$5:$C$19,MATCH(J25,'В09 Каталог'!$B$5:$B$19,0))="Лабораторна",ISERROR(SEARCH(LEFT(D25,1),INDEX('В09 Каталог'!$D$5:$D$19,MATCH(J25,'В09 Каталог'!$B$5:$B$19,0))))),"Захід не діє на цей тип загрози",IF(AND(INDEX('В09 Каталог'!$C$5:$C$19,MATCH(J25,'В09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IF(J25="","",IFERROR(INDEX('В09 Каталог'!$E$5:$E$19,MATCH(J25,'В09 Каталог'!$B$5:$B$19,0)),""))</f>
        <v/>
      </c>
      <c r="N25" s="22">
        <f>IF(J25="","",IFERROR(INDEX('В09 Каталог'!$C$5:$C$19,MATCH(J25,'В09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природу",IF(AND(INDEX('В09 Каталог'!$C$5:$C$19,MATCH(J26,'В09 Каталог'!$B$5:$B$19,0))="Лабораторна",F26="фізична",INDEX('В09 Каталог'!$A$5:$A$19,MATCH(J26,'В09 Каталог'!$B$5:$B$19,0))&lt;&gt;"L10"),"Мережевий захід не закриває фізичну загрозу",IF(AND(INDEX('В09 Каталог'!$C$5:$C$19,MATCH(J26,'В09 Каталог'!$B$5:$B$19,0))="Лабораторна",ISERROR(SEARCH(LEFT(D26,1),INDEX('В09 Каталог'!$D$5:$D$19,MATCH(J26,'В09 Каталог'!$B$5:$B$19,0))))),"Захід не діє на цей тип загрози",IF(AND(INDEX('В09 Каталог'!$C$5:$C$19,MATCH(J26,'В09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IF(J26="","",IFERROR(INDEX('В09 Каталог'!$E$5:$E$19,MATCH(J26,'В09 Каталог'!$B$5:$B$19,0)),""))</f>
        <v/>
      </c>
      <c r="N26" s="22">
        <f>IF(J26="","",IFERROR(INDEX('В09 Каталог'!$C$5:$C$19,MATCH(J26,'В09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природу",IF(AND(INDEX('В09 Каталог'!$C$5:$C$19,MATCH(J27,'В09 Каталог'!$B$5:$B$19,0))="Лабораторна",F27="фізична",INDEX('В09 Каталог'!$A$5:$A$19,MATCH(J27,'В09 Каталог'!$B$5:$B$19,0))&lt;&gt;"L10"),"Мережевий захід не закриває фізичну загрозу",IF(AND(INDEX('В09 Каталог'!$C$5:$C$19,MATCH(J27,'В09 Каталог'!$B$5:$B$19,0))="Лабораторна",ISERROR(SEARCH(LEFT(D27,1),INDEX('В09 Каталог'!$D$5:$D$19,MATCH(J27,'В09 Каталог'!$B$5:$B$19,0))))),"Захід не діє на цей тип загрози",IF(AND(INDEX('В09 Каталог'!$C$5:$C$19,MATCH(J27,'В09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IF(J27="","",IFERROR(INDEX('В09 Каталог'!$E$5:$E$19,MATCH(J27,'В09 Каталог'!$B$5:$B$19,0)),""))</f>
        <v/>
      </c>
      <c r="N27" s="22">
        <f>IF(J27="","",IFERROR(INDEX('В09 Каталог'!$C$5:$C$19,MATCH(J27,'В09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природу",IF(AND(INDEX('В09 Каталог'!$C$5:$C$19,MATCH(J28,'В09 Каталог'!$B$5:$B$19,0))="Лабораторна",F28="фізична",INDEX('В09 Каталог'!$A$5:$A$19,MATCH(J28,'В09 Каталог'!$B$5:$B$19,0))&lt;&gt;"L10"),"Мережевий захід не закриває фізичну загрозу",IF(AND(INDEX('В09 Каталог'!$C$5:$C$19,MATCH(J28,'В09 Каталог'!$B$5:$B$19,0))="Лабораторна",ISERROR(SEARCH(LEFT(D28,1),INDEX('В09 Каталог'!$D$5:$D$19,MATCH(J28,'В09 Каталог'!$B$5:$B$19,0))))),"Захід не діє на цей тип загрози",IF(AND(INDEX('В09 Каталог'!$C$5:$C$19,MATCH(J28,'В09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IF(J28="","",IFERROR(INDEX('В09 Каталог'!$E$5:$E$19,MATCH(J28,'В09 Каталог'!$B$5:$B$19,0)),""))</f>
        <v/>
      </c>
      <c r="N28" s="22">
        <f>IF(J28="","",IFERROR(INDEX('В09 Каталог'!$C$5:$C$19,MATCH(J28,'В09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природу",IF(AND(INDEX('В09 Каталог'!$C$5:$C$19,MATCH(J29,'В09 Каталог'!$B$5:$B$19,0))="Лабораторна",F29="фізична",INDEX('В09 Каталог'!$A$5:$A$19,MATCH(J29,'В09 Каталог'!$B$5:$B$19,0))&lt;&gt;"L10"),"Мережевий захід не закриває фізичну загрозу",IF(AND(INDEX('В09 Каталог'!$C$5:$C$19,MATCH(J29,'В09 Каталог'!$B$5:$B$19,0))="Лабораторна",ISERROR(SEARCH(LEFT(D29,1),INDEX('В09 Каталог'!$D$5:$D$19,MATCH(J29,'В09 Каталог'!$B$5:$B$19,0))))),"Захід не діє на цей тип загрози",IF(AND(INDEX('В09 Каталог'!$C$5:$C$19,MATCH(J29,'В09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IF(J29="","",IFERROR(INDEX('В09 Каталог'!$E$5:$E$19,MATCH(J29,'В09 Каталог'!$B$5:$B$19,0)),""))</f>
        <v/>
      </c>
      <c r="N29" s="22">
        <f>IF(J29="","",IFERROR(INDEX('В09 Каталог'!$C$5:$C$19,MATCH(J29,'В09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природу",IF(AND(INDEX('В09 Каталог'!$C$5:$C$19,MATCH(J30,'В09 Каталог'!$B$5:$B$19,0))="Лабораторна",F30="фізична",INDEX('В09 Каталог'!$A$5:$A$19,MATCH(J30,'В09 Каталог'!$B$5:$B$19,0))&lt;&gt;"L10"),"Мережевий захід не закриває фізичну загрозу",IF(AND(INDEX('В09 Каталог'!$C$5:$C$19,MATCH(J30,'В09 Каталог'!$B$5:$B$19,0))="Лабораторна",ISERROR(SEARCH(LEFT(D30,1),INDEX('В09 Каталог'!$D$5:$D$19,MATCH(J30,'В09 Каталог'!$B$5:$B$19,0))))),"Захід не діє на цей тип загрози",IF(AND(INDEX('В09 Каталог'!$C$5:$C$19,MATCH(J30,'В09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IF(J30="","",IFERROR(INDEX('В09 Каталог'!$E$5:$E$19,MATCH(J30,'В09 Каталог'!$B$5:$B$19,0)),""))</f>
        <v/>
      </c>
      <c r="N30" s="22">
        <f>IF(J30="","",IFERROR(INDEX('В09 Каталог'!$C$5:$C$19,MATCH(J30,'В09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природу",IF(AND(INDEX('В09 Каталог'!$C$5:$C$19,MATCH(J31,'В09 Каталог'!$B$5:$B$19,0))="Лабораторна",F31="фізична",INDEX('В09 Каталог'!$A$5:$A$19,MATCH(J31,'В09 Каталог'!$B$5:$B$19,0))&lt;&gt;"L10"),"Мережевий захід не закриває фізичну загрозу",IF(AND(INDEX('В09 Каталог'!$C$5:$C$19,MATCH(J31,'В09 Каталог'!$B$5:$B$19,0))="Лабораторна",ISERROR(SEARCH(LEFT(D31,1),INDEX('В09 Каталог'!$D$5:$D$19,MATCH(J31,'В09 Каталог'!$B$5:$B$19,0))))),"Захід не діє на цей тип загрози",IF(AND(INDEX('В09 Каталог'!$C$5:$C$19,MATCH(J31,'В09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IF(J31="","",IFERROR(INDEX('В09 Каталог'!$E$5:$E$19,MATCH(J31,'В09 Каталог'!$B$5:$B$19,0)),""))</f>
        <v/>
      </c>
      <c r="N31" s="22">
        <f>IF(J31="","",IFERROR(INDEX('В09 Каталог'!$C$5:$C$19,MATCH(J31,'В09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природу",IF(AND(INDEX('В09 Каталог'!$C$5:$C$19,MATCH(J32,'В09 Каталог'!$B$5:$B$19,0))="Лабораторна",F32="фізична",INDEX('В09 Каталог'!$A$5:$A$19,MATCH(J32,'В09 Каталог'!$B$5:$B$19,0))&lt;&gt;"L10"),"Мережевий захід не закриває фізичну загрозу",IF(AND(INDEX('В09 Каталог'!$C$5:$C$19,MATCH(J32,'В09 Каталог'!$B$5:$B$19,0))="Лабораторна",ISERROR(SEARCH(LEFT(D32,1),INDEX('В09 Каталог'!$D$5:$D$19,MATCH(J32,'В09 Каталог'!$B$5:$B$19,0))))),"Захід не діє на цей тип загрози",IF(AND(INDEX('В09 Каталог'!$C$5:$C$19,MATCH(J32,'В09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IF(J32="","",IFERROR(INDEX('В09 Каталог'!$E$5:$E$19,MATCH(J32,'В09 Каталог'!$B$5:$B$19,0)),""))</f>
        <v/>
      </c>
      <c r="N32" s="22">
        <f>IF(J32="","",IFERROR(INDEX('В09 Каталог'!$C$5:$C$19,MATCH(J32,'В09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природу",IF(AND(INDEX('В09 Каталог'!$C$5:$C$19,MATCH(J33,'В09 Каталог'!$B$5:$B$19,0))="Лабораторна",F33="фізична",INDEX('В09 Каталог'!$A$5:$A$19,MATCH(J33,'В09 Каталог'!$B$5:$B$19,0))&lt;&gt;"L10"),"Мережевий захід не закриває фізичну загрозу",IF(AND(INDEX('В09 Каталог'!$C$5:$C$19,MATCH(J33,'В09 Каталог'!$B$5:$B$19,0))="Лабораторна",ISERROR(SEARCH(LEFT(D33,1),INDEX('В09 Каталог'!$D$5:$D$19,MATCH(J33,'В09 Каталог'!$B$5:$B$19,0))))),"Захід не діє на цей тип загрози",IF(AND(INDEX('В09 Каталог'!$C$5:$C$19,MATCH(J33,'В09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IF(J33="","",IFERROR(INDEX('В09 Каталог'!$E$5:$E$19,MATCH(J33,'В09 Каталог'!$B$5:$B$19,0)),""))</f>
        <v/>
      </c>
      <c r="N33" s="22">
        <f>IF(J33="","",IFERROR(INDEX('В09 Каталог'!$C$5:$C$19,MATCH(J33,'В09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природу",IF(AND(INDEX('В09 Каталог'!$C$5:$C$19,MATCH(J34,'В09 Каталог'!$B$5:$B$19,0))="Лабораторна",F34="фізична",INDEX('В09 Каталог'!$A$5:$A$19,MATCH(J34,'В09 Каталог'!$B$5:$B$19,0))&lt;&gt;"L10"),"Мережевий захід не закриває фізичну загрозу",IF(AND(INDEX('В09 Каталог'!$C$5:$C$19,MATCH(J34,'В09 Каталог'!$B$5:$B$19,0))="Лабораторна",ISERROR(SEARCH(LEFT(D34,1),INDEX('В09 Каталог'!$D$5:$D$19,MATCH(J34,'В09 Каталог'!$B$5:$B$19,0))))),"Захід не діє на цей тип загрози",IF(AND(INDEX('В09 Каталог'!$C$5:$C$19,MATCH(J34,'В09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IF(J34="","",IFERROR(INDEX('В09 Каталог'!$E$5:$E$19,MATCH(J34,'В09 Каталог'!$B$5:$B$19,0)),""))</f>
        <v/>
      </c>
      <c r="N34" s="22">
        <f>IF(J34="","",IFERROR(INDEX('В09 Каталог'!$C$5:$C$19,MATCH(J34,'В09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='В09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='В09 Каталог'!$B$5:$B$19</formula1>
    </dataValidation>
  </dataValidation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00A61C5D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2"/>
    <row r="3"/>
    <row r="4">
      <c r="A4" s="23" t="inlineStr">
        <is>
          <t>Загроз у таблиці</t>
        </is>
      </c>
      <c r="B4" s="24">
        <f>COUNTA('В09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COUNTIF('В09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COUNTIF('В09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COUNTIF('В09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COUNTIF('В09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COUNTIF('В09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COUNTIF('В09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COUNTIF('В09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COUNTIF('В09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COUNTIF('В09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COUNTIF('В09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COUNTIF('В09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COUNTIF('В09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COUNTIF('В09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SUMPRODUCT(('В09 Загрози і заходи'!I5:I34="Так")*('В09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COUNTIFS('В09 Загрози і заходи'!I5:I34,"Так",'В09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COUNTIF('В09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00A61C5D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3"/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n"/>
      <c r="B5" s="11" t="n"/>
      <c r="C5" s="11" t="n"/>
      <c r="D5" s="11" t="n"/>
    </row>
    <row r="6" ht="70" customHeight="1">
      <c r="A6" s="11" t="n"/>
      <c r="B6" s="11" t="n"/>
      <c r="C6" s="11" t="n"/>
      <c r="D6" s="11" t="n"/>
    </row>
    <row r="7" ht="70" customHeight="1">
      <c r="A7" s="11" t="n"/>
      <c r="B7" s="11" t="n"/>
      <c r="C7" s="11" t="n"/>
      <c r="D7" s="11" t="n"/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1"/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n"/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005F6B76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10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tabColor rgb="005F6B76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10</t>
        </is>
      </c>
    </row>
    <row r="2"/>
    <row r="3">
      <c r="A3" s="10" t="inlineStr">
        <is>
          <t>Студент (прізвище)</t>
        </is>
      </c>
      <c r="B3" s="11" t="n"/>
    </row>
    <row r="4">
      <c r="A4" s="10" t="inlineStr">
        <is>
          <t>Точка прийому</t>
        </is>
      </c>
      <c r="B4" s="12" t="inlineStr">
        <is>
          <t>мобільний POS-термінал менеджера (виїзне обслуговування)</t>
        </is>
      </c>
    </row>
    <row r="5">
      <c r="A5" s="10" t="inlineStr">
        <is>
          <t>Підключення точки до мережі</t>
        </is>
      </c>
      <c r="B5" s="12" t="inlineStr">
        <is>
          <t>Wi-Fi відділення</t>
        </is>
      </c>
    </row>
    <row r="6">
      <c r="A6" s="10" t="inlineStr">
        <is>
          <t>Зв'язок відділення зі шлюзом</t>
        </is>
      </c>
      <c r="B6" s="12" t="inlineStr">
        <is>
          <t>Інтернет із налаштованим IPsec VPN</t>
        </is>
      </c>
    </row>
    <row r="7">
      <c r="A7" s="10" t="inlineStr">
        <is>
          <t>Особливий учасник</t>
        </is>
      </c>
      <c r="B7" s="12" t="inlineStr">
        <is>
          <t>оператор зв'язку: обладнання й канал на стороні оператора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0"/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n"/>
      <c r="C13" s="15">
        <f>A13&amp;". "&amp;B13</f>
        <v/>
      </c>
    </row>
    <row r="14">
      <c r="A14" s="15" t="inlineStr">
        <is>
          <t>M2</t>
        </is>
      </c>
      <c r="B14" s="11" t="n"/>
      <c r="C14" s="15">
        <f>A14&amp;". "&amp;B14</f>
        <v/>
      </c>
    </row>
    <row r="15">
      <c r="A15" s="15" t="inlineStr">
        <is>
          <t>M3</t>
        </is>
      </c>
      <c r="B15" s="11" t="n"/>
      <c r="C15" s="15">
        <f>A15&amp;". "&amp;B15</f>
        <v/>
      </c>
    </row>
    <row r="16">
      <c r="A16" s="15" t="inlineStr">
        <is>
          <t>M4</t>
        </is>
      </c>
      <c r="B16" s="11" t="n"/>
      <c r="C16" s="15">
        <f>A16&amp;". "&amp;B16</f>
        <v/>
      </c>
    </row>
    <row r="17">
      <c r="A17" s="15" t="inlineStr">
        <is>
          <t>M5</t>
        </is>
      </c>
      <c r="B17" s="11" t="n"/>
      <c r="C17" s="15">
        <f>A17&amp;". "&amp;B17</f>
        <v/>
      </c>
    </row>
    <row r="18">
      <c r="A18" s="15" t="inlineStr">
        <is>
          <t>M6</t>
        </is>
      </c>
      <c r="B18" s="11" t="n"/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tabColor rgb="005F6B76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3"/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tabColor rgb="005F6B76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3"/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M5</t>
        </is>
      </c>
      <c r="C5" s="15" t="inlineStr">
        <is>
          <t>S — підміна</t>
        </is>
      </c>
      <c r="D5" s="15" t="inlineStr">
        <is>
          <t>Підроблений запит до АБС від зламаного шлюзу чи від ПК відділення</t>
        </is>
      </c>
      <c r="E5" s="15" t="inlineStr">
        <is>
          <t>мережева</t>
        </is>
      </c>
      <c r="F5" s="15" t="n">
        <v>3</v>
      </c>
      <c r="G5" s="15" t="inlineStr">
        <is>
          <t>ЛР5. Міжмережевий екран ASA: зони й NAT</t>
        </is>
      </c>
    </row>
    <row r="6">
      <c r="A6" s="15" t="n">
        <v>2</v>
      </c>
      <c r="B6" s="15" t="inlineStr">
        <is>
          <t>M4</t>
        </is>
      </c>
      <c r="C6" s="15" t="inlineStr">
        <is>
          <t>T — зміна даних</t>
        </is>
      </c>
      <c r="D6" s="15" t="inlineStr">
        <is>
          <t>Перехоплення платіжного трафіку в каналі: зловмисник читає передані дані</t>
        </is>
      </c>
      <c r="E6" s="15" t="inlineStr">
        <is>
          <t>мережева</t>
        </is>
      </c>
      <c r="F6" s="15" t="n">
        <v>3</v>
      </c>
      <c r="G6" s="15" t="inlineStr">
        <is>
          <t>ЛР7. IPsec VPN між відділенням і головним офісом</t>
        </is>
      </c>
    </row>
    <row r="7">
      <c r="A7" s="15" t="n">
        <v>3</v>
      </c>
      <c r="B7" s="15" t="inlineStr">
        <is>
          <t>M1</t>
        </is>
      </c>
      <c r="C7" s="15" t="inlineStr">
        <is>
          <t>T — зміна даних</t>
        </is>
      </c>
      <c r="D7" s="15" t="inlineStr">
        <is>
          <t>Скімер на мобільного POS-термінала: копіює дані картки</t>
        </is>
      </c>
      <c r="E7" s="15" t="inlineStr">
        <is>
          <t>фізична</t>
        </is>
      </c>
      <c r="F7" s="15" t="n">
        <v>3</v>
      </c>
      <c r="G7" s="15" t="inlineStr">
        <is>
          <t>ЛР1. Сегментація VLAN і маршрутизація між ними</t>
        </is>
      </c>
    </row>
    <row r="8">
      <c r="A8" s="15" t="n">
        <v>4</v>
      </c>
      <c r="B8" s="15" t="inlineStr">
        <is>
          <t>M5</t>
        </is>
      </c>
      <c r="C8" s="15" t="inlineStr">
        <is>
          <t>R — відмова від дій</t>
        </is>
      </c>
      <c r="D8" s="15" t="inlineStr">
        <is>
          <t>Шлюз не зберігає журнал: після шахрайства неможливо відновити послідовність подій</t>
        </is>
      </c>
      <c r="E8" s="15" t="inlineStr">
        <is>
          <t>мережева</t>
        </is>
      </c>
      <c r="F8" s="15" t="n">
        <v>2</v>
      </c>
      <c r="G8" s="15" t="inlineStr">
        <is>
          <t>ЛР10. Syslog, NTP і моніторинг (лише виявляє)</t>
        </is>
      </c>
    </row>
    <row r="9">
      <c r="A9" s="15" t="n">
        <v>5</v>
      </c>
      <c r="B9" s="15" t="inlineStr">
        <is>
          <t>M1</t>
        </is>
      </c>
      <c r="C9" s="15" t="inlineStr">
        <is>
          <t>R — відмова від дій</t>
        </is>
      </c>
      <c r="D9" s="15" t="inlineStr">
        <is>
          <t>Клієнт заперечує операцію, а повного журналу з точним часом немає</t>
        </is>
      </c>
      <c r="E9" s="15" t="inlineStr">
        <is>
          <t>організаційна</t>
        </is>
      </c>
      <c r="F9" s="15" t="n">
        <v>2</v>
      </c>
      <c r="G9" s="15" t="inlineStr">
        <is>
          <t>ЛР10. Syslog, NTP і моніторинг (лише виявляє)</t>
        </is>
      </c>
    </row>
    <row r="10">
      <c r="A10" s="15" t="n">
        <v>6</v>
      </c>
      <c r="B10" s="15" t="inlineStr">
        <is>
          <t>M2</t>
        </is>
      </c>
      <c r="C10" s="15" t="inlineStr">
        <is>
          <t>S — підміна</t>
        </is>
      </c>
      <c r="D10" s="15" t="inlineStr">
        <is>
          <t>Чужий пристрій підключається до Wi-Fi відділення й видає себе за термінал</t>
        </is>
      </c>
      <c r="E10" s="15" t="inlineStr">
        <is>
          <t>мережева</t>
        </is>
      </c>
      <c r="F10" s="15" t="n">
        <v>3</v>
      </c>
      <c r="G10" s="15" t="inlineStr">
        <is>
          <t>ЛР8. Окремий VLAN для пристроїв і захищена Wi-Fi (WPA2)</t>
        </is>
      </c>
    </row>
    <row r="11">
      <c r="A11" s="15" t="n">
        <v>7</v>
      </c>
      <c r="B11" s="15" t="inlineStr">
        <is>
          <t>M3</t>
        </is>
      </c>
      <c r="C11" s="15" t="inlineStr">
        <is>
          <t>T — зміна даних</t>
        </is>
      </c>
      <c r="D11" s="15" t="inlineStr">
        <is>
          <t>Встановити IPsec VPN і міжмережевий екран між відділенням і шлюзом</t>
        </is>
      </c>
      <c r="E11" s="15" t="inlineStr">
        <is>
          <t>мережева</t>
        </is>
      </c>
      <c r="F11" s="15" t="n">
        <v>3</v>
      </c>
      <c r="G11" s="15" t="inlineStr">
        <is>
          <t>ЛР7. IPsec VPN між відділенням і головним офісом</t>
        </is>
      </c>
    </row>
    <row r="12"/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n"/>
      <c r="B15" s="11" t="n"/>
      <c r="C15" s="11" t="n"/>
      <c r="D15" s="19" t="n"/>
      <c r="E15" s="19" t="n"/>
      <c r="F15" s="19" t="n"/>
      <c r="G15" s="20" t="n"/>
    </row>
    <row r="16">
      <c r="A16" s="11" t="n"/>
      <c r="B16" s="11" t="n"/>
      <c r="C16" s="11" t="n"/>
      <c r="D16" s="19" t="n"/>
      <c r="E16" s="19" t="n"/>
      <c r="F16" s="19" t="n"/>
      <c r="G16" s="20" t="n"/>
    </row>
    <row r="17">
      <c r="A17" s="11" t="n"/>
      <c r="B17" s="11" t="n"/>
      <c r="C17" s="11" t="n"/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tabColor rgb="005F6B76"/>
    <outlinePr summaryBelow="1" summaryRight="1"/>
    <pageSetUpPr/>
  </sheetPr>
  <dimension ref="A1:O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3"/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n"/>
      <c r="C5" s="11" t="n"/>
      <c r="D5" s="21" t="n"/>
      <c r="E5" s="11" t="n"/>
      <c r="F5" s="21" t="n"/>
      <c r="G5" s="21" t="n"/>
      <c r="H5" s="11" t="n"/>
      <c r="I5" s="21" t="n"/>
      <c r="J5" s="11" t="n"/>
      <c r="K5" s="11" t="n"/>
      <c r="L5" s="15">
        <f>IF(I5&lt;&gt;"Так","",IF(J5="","Оберіть захід",IF(K5="","Вкажіть, де в мережі",IF(D5="","Оберіть літеру STRIDE",IF(F5="","Вкажіть природу",IF(AND(INDEX('В10 Каталог'!$C$5:$C$19,MATCH(J5,'В10 Каталог'!$B$5:$B$19,0))="Лабораторна",F5="фізична",INDEX('В10 Каталог'!$A$5:$A$19,MATCH(J5,'В10 Каталог'!$B$5:$B$19,0))&lt;&gt;"L10"),"Мережевий захід не закриває фізичну загрозу",IF(AND(INDEX('В10 Каталог'!$C$5:$C$19,MATCH(J5,'В10 Каталог'!$B$5:$B$19,0))="Лабораторна",ISERROR(SEARCH(LEFT(D5,1),INDEX('В10 Каталог'!$D$5:$D$19,MATCH(J5,'В10 Каталог'!$B$5:$B$19,0))))),"Захід не діє на цей тип загрози",IF(AND(INDEX('В10 Каталог'!$C$5:$C$19,MATCH(J5,'В10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IF(J5="","",IFERROR(INDEX('В10 Каталог'!$E$5:$E$19,MATCH(J5,'В10 Каталог'!$B$5:$B$19,0)),""))</f>
        <v/>
      </c>
      <c r="N5" s="22">
        <f>IF(J5="","",IFERROR(INDEX('В10 Каталог'!$C$5:$C$19,MATCH(J5,'В10 Каталог'!$B$5:$B$19,0)),""))</f>
        <v/>
      </c>
      <c r="O5" s="21" t="n"/>
    </row>
    <row r="6">
      <c r="A6" s="15" t="n">
        <v>2</v>
      </c>
      <c r="B6" s="11" t="n"/>
      <c r="C6" s="11" t="n"/>
      <c r="D6" s="21" t="n"/>
      <c r="E6" s="11" t="n"/>
      <c r="F6" s="21" t="n"/>
      <c r="G6" s="21" t="n"/>
      <c r="H6" s="11" t="n"/>
      <c r="I6" s="21" t="n"/>
      <c r="J6" s="11" t="n"/>
      <c r="K6" s="11" t="n"/>
      <c r="L6" s="15">
        <f>IF(I6&lt;&gt;"Так","",IF(J6="","Оберіть захід",IF(K6="","Вкажіть, де в мережі",IF(D6="","Оберіть літеру STRIDE",IF(F6="","Вкажіть природу",IF(AND(INDEX('В10 Каталог'!$C$5:$C$19,MATCH(J6,'В10 Каталог'!$B$5:$B$19,0))="Лабораторна",F6="фізична",INDEX('В10 Каталог'!$A$5:$A$19,MATCH(J6,'В10 Каталог'!$B$5:$B$19,0))&lt;&gt;"L10"),"Мережевий захід не закриває фізичну загрозу",IF(AND(INDEX('В10 Каталог'!$C$5:$C$19,MATCH(J6,'В10 Каталог'!$B$5:$B$19,0))="Лабораторна",ISERROR(SEARCH(LEFT(D6,1),INDEX('В10 Каталог'!$D$5:$D$19,MATCH(J6,'В10 Каталог'!$B$5:$B$19,0))))),"Захід не діє на цей тип загрози",IF(AND(INDEX('В10 Каталог'!$C$5:$C$19,MATCH(J6,'В10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IF(J6="","",IFERROR(INDEX('В10 Каталог'!$E$5:$E$19,MATCH(J6,'В10 Каталог'!$B$5:$B$19,0)),""))</f>
        <v/>
      </c>
      <c r="N6" s="22">
        <f>IF(J6="","",IFERROR(INDEX('В10 Каталог'!$C$5:$C$19,MATCH(J6,'В10 Каталог'!$B$5:$B$19,0)),""))</f>
        <v/>
      </c>
      <c r="O6" s="21" t="n"/>
    </row>
    <row r="7">
      <c r="A7" s="15" t="n">
        <v>3</v>
      </c>
      <c r="B7" s="11" t="n"/>
      <c r="C7" s="11" t="n"/>
      <c r="D7" s="21" t="n"/>
      <c r="E7" s="11" t="n"/>
      <c r="F7" s="21" t="n"/>
      <c r="G7" s="21" t="n"/>
      <c r="H7" s="11" t="n"/>
      <c r="I7" s="21" t="n"/>
      <c r="J7" s="11" t="n"/>
      <c r="K7" s="11" t="n"/>
      <c r="L7" s="15">
        <f>IF(I7&lt;&gt;"Так","",IF(J7="","Оберіть захід",IF(K7="","Вкажіть, де в мережі",IF(D7="","Оберіть літеру STRIDE",IF(F7="","Вкажіть природу",IF(AND(INDEX('В10 Каталог'!$C$5:$C$19,MATCH(J7,'В10 Каталог'!$B$5:$B$19,0))="Лабораторна",F7="фізична",INDEX('В10 Каталог'!$A$5:$A$19,MATCH(J7,'В10 Каталог'!$B$5:$B$19,0))&lt;&gt;"L10"),"Мережевий захід не закриває фізичну загрозу",IF(AND(INDEX('В10 Каталог'!$C$5:$C$19,MATCH(J7,'В10 Каталог'!$B$5:$B$19,0))="Лабораторна",ISERROR(SEARCH(LEFT(D7,1),INDEX('В10 Каталог'!$D$5:$D$19,MATCH(J7,'В10 Каталог'!$B$5:$B$19,0))))),"Захід не діє на цей тип загрози",IF(AND(INDEX('В10 Каталог'!$C$5:$C$19,MATCH(J7,'В10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IF(J7="","",IFERROR(INDEX('В10 Каталог'!$E$5:$E$19,MATCH(J7,'В10 Каталог'!$B$5:$B$19,0)),""))</f>
        <v/>
      </c>
      <c r="N7" s="22">
        <f>IF(J7="","",IFERROR(INDEX('В10 Каталог'!$C$5:$C$19,MATCH(J7,'В10 Каталог'!$B$5:$B$19,0)),""))</f>
        <v/>
      </c>
      <c r="O7" s="21" t="n"/>
    </row>
    <row r="8">
      <c r="A8" s="15" t="n">
        <v>4</v>
      </c>
      <c r="B8" s="11" t="n"/>
      <c r="C8" s="11" t="n"/>
      <c r="D8" s="21" t="n"/>
      <c r="E8" s="11" t="n"/>
      <c r="F8" s="21" t="n"/>
      <c r="G8" s="21" t="n"/>
      <c r="H8" s="11" t="n"/>
      <c r="I8" s="21" t="n"/>
      <c r="J8" s="11" t="n"/>
      <c r="K8" s="11" t="n"/>
      <c r="L8" s="15">
        <f>IF(I8&lt;&gt;"Так","",IF(J8="","Оберіть захід",IF(K8="","Вкажіть, де в мережі",IF(D8="","Оберіть літеру STRIDE",IF(F8="","Вкажіть природу",IF(AND(INDEX('В10 Каталог'!$C$5:$C$19,MATCH(J8,'В10 Каталог'!$B$5:$B$19,0))="Лабораторна",F8="фізична",INDEX('В10 Каталог'!$A$5:$A$19,MATCH(J8,'В10 Каталог'!$B$5:$B$19,0))&lt;&gt;"L10"),"Мережевий захід не закриває фізичну загрозу",IF(AND(INDEX('В10 Каталог'!$C$5:$C$19,MATCH(J8,'В10 Каталог'!$B$5:$B$19,0))="Лабораторна",ISERROR(SEARCH(LEFT(D8,1),INDEX('В10 Каталог'!$D$5:$D$19,MATCH(J8,'В10 Каталог'!$B$5:$B$19,0))))),"Захід не діє на цей тип загрози",IF(AND(INDEX('В10 Каталог'!$C$5:$C$19,MATCH(J8,'В10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IF(J8="","",IFERROR(INDEX('В10 Каталог'!$E$5:$E$19,MATCH(J8,'В10 Каталог'!$B$5:$B$19,0)),""))</f>
        <v/>
      </c>
      <c r="N8" s="22">
        <f>IF(J8="","",IFERROR(INDEX('В10 Каталог'!$C$5:$C$19,MATCH(J8,'В10 Каталог'!$B$5:$B$19,0)),""))</f>
        <v/>
      </c>
      <c r="O8" s="21" t="n"/>
    </row>
    <row r="9">
      <c r="A9" s="15" t="n">
        <v>5</v>
      </c>
      <c r="B9" s="11" t="n"/>
      <c r="C9" s="11" t="n"/>
      <c r="D9" s="21" t="n"/>
      <c r="E9" s="11" t="n"/>
      <c r="F9" s="21" t="n"/>
      <c r="G9" s="21" t="n"/>
      <c r="H9" s="11" t="n"/>
      <c r="I9" s="21" t="n"/>
      <c r="J9" s="11" t="n"/>
      <c r="K9" s="11" t="n"/>
      <c r="L9" s="15">
        <f>IF(I9&lt;&gt;"Так","",IF(J9="","Оберіть захід",IF(K9="","Вкажіть, де в мережі",IF(D9="","Оберіть літеру STRIDE",IF(F9="","Вкажіть природу",IF(AND(INDEX('В10 Каталог'!$C$5:$C$19,MATCH(J9,'В10 Каталог'!$B$5:$B$19,0))="Лабораторна",F9="фізична",INDEX('В10 Каталог'!$A$5:$A$19,MATCH(J9,'В10 Каталог'!$B$5:$B$19,0))&lt;&gt;"L10"),"Мережевий захід не закриває фізичну загрозу",IF(AND(INDEX('В10 Каталог'!$C$5:$C$19,MATCH(J9,'В10 Каталог'!$B$5:$B$19,0))="Лабораторна",ISERROR(SEARCH(LEFT(D9,1),INDEX('В10 Каталог'!$D$5:$D$19,MATCH(J9,'В10 Каталог'!$B$5:$B$19,0))))),"Захід не діє на цей тип загрози",IF(AND(INDEX('В10 Каталог'!$C$5:$C$19,MATCH(J9,'В10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IF(J9="","",IFERROR(INDEX('В10 Каталог'!$E$5:$E$19,MATCH(J9,'В10 Каталог'!$B$5:$B$19,0)),""))</f>
        <v/>
      </c>
      <c r="N9" s="22">
        <f>IF(J9="","",IFERROR(INDEX('В10 Каталог'!$C$5:$C$19,MATCH(J9,'В10 Каталог'!$B$5:$B$19,0)),""))</f>
        <v/>
      </c>
      <c r="O9" s="21" t="n"/>
    </row>
    <row r="10">
      <c r="A10" s="15" t="n">
        <v>6</v>
      </c>
      <c r="B10" s="11" t="n"/>
      <c r="C10" s="11" t="n"/>
      <c r="D10" s="21" t="n"/>
      <c r="E10" s="11" t="n"/>
      <c r="F10" s="21" t="n"/>
      <c r="G10" s="21" t="n"/>
      <c r="H10" s="11" t="n"/>
      <c r="I10" s="21" t="n"/>
      <c r="J10" s="11" t="n"/>
      <c r="K10" s="11" t="n"/>
      <c r="L10" s="15">
        <f>IF(I10&lt;&gt;"Так","",IF(J10="","Оберіть захід",IF(K10="","Вкажіть, де в мережі",IF(D10="","Оберіть літеру STRIDE",IF(F10="","Вкажіть природу",IF(AND(INDEX('В10 Каталог'!$C$5:$C$19,MATCH(J10,'В10 Каталог'!$B$5:$B$19,0))="Лабораторна",F10="фізична",INDEX('В10 Каталог'!$A$5:$A$19,MATCH(J10,'В10 Каталог'!$B$5:$B$19,0))&lt;&gt;"L10"),"Мережевий захід не закриває фізичну загрозу",IF(AND(INDEX('В10 Каталог'!$C$5:$C$19,MATCH(J10,'В10 Каталог'!$B$5:$B$19,0))="Лабораторна",ISERROR(SEARCH(LEFT(D10,1),INDEX('В10 Каталог'!$D$5:$D$19,MATCH(J10,'В10 Каталог'!$B$5:$B$19,0))))),"Захід не діє на цей тип загрози",IF(AND(INDEX('В10 Каталог'!$C$5:$C$19,MATCH(J10,'В10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IF(J10="","",IFERROR(INDEX('В10 Каталог'!$E$5:$E$19,MATCH(J10,'В10 Каталог'!$B$5:$B$19,0)),""))</f>
        <v/>
      </c>
      <c r="N10" s="22">
        <f>IF(J10="","",IFERROR(INDEX('В10 Каталог'!$C$5:$C$19,MATCH(J10,'В10 Каталог'!$B$5:$B$19,0)),""))</f>
        <v/>
      </c>
      <c r="O10" s="21" t="n"/>
    </row>
    <row r="11">
      <c r="A11" s="15" t="n">
        <v>7</v>
      </c>
      <c r="B11" s="11" t="n"/>
      <c r="C11" s="11" t="n"/>
      <c r="D11" s="21" t="n"/>
      <c r="E11" s="11" t="n"/>
      <c r="F11" s="21" t="n"/>
      <c r="G11" s="21" t="n"/>
      <c r="H11" s="11" t="n"/>
      <c r="I11" s="21" t="n"/>
      <c r="J11" s="11" t="n"/>
      <c r="K11" s="11" t="n"/>
      <c r="L11" s="15">
        <f>IF(I11&lt;&gt;"Так","",IF(J11="","Оберіть захід",IF(K11="","Вкажіть, де в мережі",IF(D11="","Оберіть літеру STRIDE",IF(F11="","Вкажіть природу",IF(AND(INDEX('В10 Каталог'!$C$5:$C$19,MATCH(J11,'В10 Каталог'!$B$5:$B$19,0))="Лабораторна",F11="фізична",INDEX('В10 Каталог'!$A$5:$A$19,MATCH(J11,'В10 Каталог'!$B$5:$B$19,0))&lt;&gt;"L10"),"Мережевий захід не закриває фізичну загрозу",IF(AND(INDEX('В10 Каталог'!$C$5:$C$19,MATCH(J11,'В10 Каталог'!$B$5:$B$19,0))="Лабораторна",ISERROR(SEARCH(LEFT(D11,1),INDEX('В10 Каталог'!$D$5:$D$19,MATCH(J11,'В10 Каталог'!$B$5:$B$19,0))))),"Захід не діє на цей тип загрози",IF(AND(INDEX('В10 Каталог'!$C$5:$C$19,MATCH(J11,'В10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IF(J11="","",IFERROR(INDEX('В10 Каталог'!$E$5:$E$19,MATCH(J11,'В10 Каталог'!$B$5:$B$19,0)),""))</f>
        <v/>
      </c>
      <c r="N11" s="22">
        <f>IF(J11="","",IFERROR(INDEX('В10 Каталог'!$C$5:$C$19,MATCH(J11,'В10 Каталог'!$B$5:$B$19,0)),""))</f>
        <v/>
      </c>
      <c r="O11" s="21" t="n"/>
    </row>
    <row r="12">
      <c r="A12" s="15" t="n">
        <v>8</v>
      </c>
      <c r="B12" s="11" t="n"/>
      <c r="C12" s="11" t="n"/>
      <c r="D12" s="21" t="n"/>
      <c r="E12" s="11" t="n"/>
      <c r="F12" s="21" t="n"/>
      <c r="G12" s="21" t="n"/>
      <c r="H12" s="11" t="n"/>
      <c r="I12" s="21" t="n"/>
      <c r="J12" s="11" t="n"/>
      <c r="K12" s="11" t="n"/>
      <c r="L12" s="15">
        <f>IF(I12&lt;&gt;"Так","",IF(J12="","Оберіть захід",IF(K12="","Вкажіть, де в мережі",IF(D12="","Оберіть літеру STRIDE",IF(F12="","Вкажіть природу",IF(AND(INDEX('В10 Каталог'!$C$5:$C$19,MATCH(J12,'В10 Каталог'!$B$5:$B$19,0))="Лабораторна",F12="фізична",INDEX('В10 Каталог'!$A$5:$A$19,MATCH(J12,'В10 Каталог'!$B$5:$B$19,0))&lt;&gt;"L10"),"Мережевий захід не закриває фізичну загрозу",IF(AND(INDEX('В10 Каталог'!$C$5:$C$19,MATCH(J12,'В10 Каталог'!$B$5:$B$19,0))="Лабораторна",ISERROR(SEARCH(LEFT(D12,1),INDEX('В10 Каталог'!$D$5:$D$19,MATCH(J12,'В10 Каталог'!$B$5:$B$19,0))))),"Захід не діє на цей тип загрози",IF(AND(INDEX('В10 Каталог'!$C$5:$C$19,MATCH(J12,'В10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IF(J12="","",IFERROR(INDEX('В10 Каталог'!$E$5:$E$19,MATCH(J12,'В10 Каталог'!$B$5:$B$19,0)),""))</f>
        <v/>
      </c>
      <c r="N12" s="22">
        <f>IF(J12="","",IFERROR(INDEX('В10 Каталог'!$C$5:$C$19,MATCH(J12,'В10 Каталог'!$B$5:$B$19,0)),""))</f>
        <v/>
      </c>
      <c r="O12" s="21" t="n"/>
    </row>
    <row r="13">
      <c r="A13" s="15" t="n">
        <v>9</v>
      </c>
      <c r="B13" s="11" t="n"/>
      <c r="C13" s="11" t="n"/>
      <c r="D13" s="21" t="n"/>
      <c r="E13" s="11" t="n"/>
      <c r="F13" s="21" t="n"/>
      <c r="G13" s="21" t="n"/>
      <c r="H13" s="11" t="n"/>
      <c r="I13" s="21" t="n"/>
      <c r="J13" s="11" t="n"/>
      <c r="K13" s="11" t="n"/>
      <c r="L13" s="15">
        <f>IF(I13&lt;&gt;"Так","",IF(J13="","Оберіть захід",IF(K13="","Вкажіть, де в мережі",IF(D13="","Оберіть літеру STRIDE",IF(F13="","Вкажіть природу",IF(AND(INDEX('В10 Каталог'!$C$5:$C$19,MATCH(J13,'В10 Каталог'!$B$5:$B$19,0))="Лабораторна",F13="фізична",INDEX('В10 Каталог'!$A$5:$A$19,MATCH(J13,'В10 Каталог'!$B$5:$B$19,0))&lt;&gt;"L10"),"Мережевий захід не закриває фізичну загрозу",IF(AND(INDEX('В10 Каталог'!$C$5:$C$19,MATCH(J13,'В10 Каталог'!$B$5:$B$19,0))="Лабораторна",ISERROR(SEARCH(LEFT(D13,1),INDEX('В10 Каталог'!$D$5:$D$19,MATCH(J13,'В10 Каталог'!$B$5:$B$19,0))))),"Захід не діє на цей тип загрози",IF(AND(INDEX('В10 Каталог'!$C$5:$C$19,MATCH(J13,'В10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IF(J13="","",IFERROR(INDEX('В10 Каталог'!$E$5:$E$19,MATCH(J13,'В10 Каталог'!$B$5:$B$19,0)),""))</f>
        <v/>
      </c>
      <c r="N13" s="22">
        <f>IF(J13="","",IFERROR(INDEX('В10 Каталог'!$C$5:$C$19,MATCH(J13,'В10 Каталог'!$B$5:$B$19,0)),""))</f>
        <v/>
      </c>
      <c r="O13" s="21" t="n"/>
    </row>
    <row r="14">
      <c r="A14" s="15" t="n">
        <v>10</v>
      </c>
      <c r="B14" s="11" t="n"/>
      <c r="C14" s="11" t="n"/>
      <c r="D14" s="21" t="n"/>
      <c r="E14" s="11" t="n"/>
      <c r="F14" s="21" t="n"/>
      <c r="G14" s="21" t="n"/>
      <c r="H14" s="11" t="n"/>
      <c r="I14" s="21" t="n"/>
      <c r="J14" s="11" t="n"/>
      <c r="K14" s="11" t="n"/>
      <c r="L14" s="15">
        <f>IF(I14&lt;&gt;"Так","",IF(J14="","Оберіть захід",IF(K14="","Вкажіть, де в мережі",IF(D14="","Оберіть літеру STRIDE",IF(F14="","Вкажіть природу",IF(AND(INDEX('В10 Каталог'!$C$5:$C$19,MATCH(J14,'В10 Каталог'!$B$5:$B$19,0))="Лабораторна",F14="фізична",INDEX('В10 Каталог'!$A$5:$A$19,MATCH(J14,'В10 Каталог'!$B$5:$B$19,0))&lt;&gt;"L10"),"Мережевий захід не закриває фізичну загрозу",IF(AND(INDEX('В10 Каталог'!$C$5:$C$19,MATCH(J14,'В10 Каталог'!$B$5:$B$19,0))="Лабораторна",ISERROR(SEARCH(LEFT(D14,1),INDEX('В10 Каталог'!$D$5:$D$19,MATCH(J14,'В10 Каталог'!$B$5:$B$19,0))))),"Захід не діє на цей тип загрози",IF(AND(INDEX('В10 Каталог'!$C$5:$C$19,MATCH(J14,'В10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IF(J14="","",IFERROR(INDEX('В10 Каталог'!$E$5:$E$19,MATCH(J14,'В10 Каталог'!$B$5:$B$19,0)),""))</f>
        <v/>
      </c>
      <c r="N14" s="22">
        <f>IF(J14="","",IFERROR(INDEX('В10 Каталог'!$C$5:$C$19,MATCH(J14,'В10 Каталог'!$B$5:$B$19,0)),""))</f>
        <v/>
      </c>
      <c r="O14" s="21" t="n"/>
    </row>
    <row r="15">
      <c r="A15" s="15" t="n">
        <v>11</v>
      </c>
      <c r="B15" s="11" t="n"/>
      <c r="C15" s="11" t="n"/>
      <c r="D15" s="21" t="n"/>
      <c r="E15" s="11" t="n"/>
      <c r="F15" s="21" t="n"/>
      <c r="G15" s="21" t="n"/>
      <c r="H15" s="11" t="n"/>
      <c r="I15" s="21" t="n"/>
      <c r="J15" s="11" t="n"/>
      <c r="K15" s="11" t="n"/>
      <c r="L15" s="15">
        <f>IF(I15&lt;&gt;"Так","",IF(J15="","Оберіть захід",IF(K15="","Вкажіть, де в мережі",IF(D15="","Оберіть літеру STRIDE",IF(F15="","Вкажіть природу",IF(AND(INDEX('В10 Каталог'!$C$5:$C$19,MATCH(J15,'В10 Каталог'!$B$5:$B$19,0))="Лабораторна",F15="фізична",INDEX('В10 Каталог'!$A$5:$A$19,MATCH(J15,'В10 Каталог'!$B$5:$B$19,0))&lt;&gt;"L10"),"Мережевий захід не закриває фізичну загрозу",IF(AND(INDEX('В10 Каталог'!$C$5:$C$19,MATCH(J15,'В10 Каталог'!$B$5:$B$19,0))="Лабораторна",ISERROR(SEARCH(LEFT(D15,1),INDEX('В10 Каталог'!$D$5:$D$19,MATCH(J15,'В10 Каталог'!$B$5:$B$19,0))))),"Захід не діє на цей тип загрози",IF(AND(INDEX('В10 Каталог'!$C$5:$C$19,MATCH(J15,'В10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IF(J15="","",IFERROR(INDEX('В10 Каталог'!$E$5:$E$19,MATCH(J15,'В10 Каталог'!$B$5:$B$19,0)),""))</f>
        <v/>
      </c>
      <c r="N15" s="22">
        <f>IF(J15="","",IFERROR(INDEX('В10 Каталог'!$C$5:$C$19,MATCH(J15,'В10 Каталог'!$B$5:$B$19,0)),""))</f>
        <v/>
      </c>
      <c r="O15" s="21" t="n"/>
    </row>
    <row r="16">
      <c r="A16" s="15" t="n">
        <v>12</v>
      </c>
      <c r="B16" s="11" t="n"/>
      <c r="C16" s="11" t="n"/>
      <c r="D16" s="21" t="n"/>
      <c r="E16" s="11" t="n"/>
      <c r="F16" s="21" t="n"/>
      <c r="G16" s="21" t="n"/>
      <c r="H16" s="11" t="n"/>
      <c r="I16" s="21" t="n"/>
      <c r="J16" s="11" t="n"/>
      <c r="K16" s="11" t="n"/>
      <c r="L16" s="15">
        <f>IF(I16&lt;&gt;"Так","",IF(J16="","Оберіть захід",IF(K16="","Вкажіть, де в мережі",IF(D16="","Оберіть літеру STRIDE",IF(F16="","Вкажіть природу",IF(AND(INDEX('В10 Каталог'!$C$5:$C$19,MATCH(J16,'В10 Каталог'!$B$5:$B$19,0))="Лабораторна",F16="фізична",INDEX('В10 Каталог'!$A$5:$A$19,MATCH(J16,'В10 Каталог'!$B$5:$B$19,0))&lt;&gt;"L10"),"Мережевий захід не закриває фізичну загрозу",IF(AND(INDEX('В10 Каталог'!$C$5:$C$19,MATCH(J16,'В10 Каталог'!$B$5:$B$19,0))="Лабораторна",ISERROR(SEARCH(LEFT(D16,1),INDEX('В10 Каталог'!$D$5:$D$19,MATCH(J16,'В10 Каталог'!$B$5:$B$19,0))))),"Захід не діє на цей тип загрози",IF(AND(INDEX('В10 Каталог'!$C$5:$C$19,MATCH(J16,'В10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IF(J16="","",IFERROR(INDEX('В10 Каталог'!$E$5:$E$19,MATCH(J16,'В10 Каталог'!$B$5:$B$19,0)),""))</f>
        <v/>
      </c>
      <c r="N16" s="22">
        <f>IF(J16="","",IFERROR(INDEX('В10 Каталог'!$C$5:$C$19,MATCH(J16,'В10 Каталог'!$B$5:$B$19,0)),""))</f>
        <v/>
      </c>
      <c r="O16" s="21" t="n"/>
    </row>
    <row r="17">
      <c r="A17" s="15" t="n">
        <v>13</v>
      </c>
      <c r="B17" s="11" t="n"/>
      <c r="C17" s="11" t="n"/>
      <c r="D17" s="21" t="n"/>
      <c r="E17" s="11" t="n"/>
      <c r="F17" s="21" t="n"/>
      <c r="G17" s="21" t="n"/>
      <c r="H17" s="11" t="n"/>
      <c r="I17" s="21" t="n"/>
      <c r="J17" s="11" t="n"/>
      <c r="K17" s="11" t="n"/>
      <c r="L17" s="15">
        <f>IF(I17&lt;&gt;"Так","",IF(J17="","Оберіть захід",IF(K17="","Вкажіть, де в мережі",IF(D17="","Оберіть літеру STRIDE",IF(F17="","Вкажіть природу",IF(AND(INDEX('В10 Каталог'!$C$5:$C$19,MATCH(J17,'В10 Каталог'!$B$5:$B$19,0))="Лабораторна",F17="фізична",INDEX('В10 Каталог'!$A$5:$A$19,MATCH(J17,'В10 Каталог'!$B$5:$B$19,0))&lt;&gt;"L10"),"Мережевий захід не закриває фізичну загрозу",IF(AND(INDEX('В10 Каталог'!$C$5:$C$19,MATCH(J17,'В10 Каталог'!$B$5:$B$19,0))="Лабораторна",ISERROR(SEARCH(LEFT(D17,1),INDEX('В10 Каталог'!$D$5:$D$19,MATCH(J17,'В10 Каталог'!$B$5:$B$19,0))))),"Захід не діє на цей тип загрози",IF(AND(INDEX('В10 Каталог'!$C$5:$C$19,MATCH(J17,'В10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IF(J17="","",IFERROR(INDEX('В10 Каталог'!$E$5:$E$19,MATCH(J17,'В10 Каталог'!$B$5:$B$19,0)),""))</f>
        <v/>
      </c>
      <c r="N17" s="22">
        <f>IF(J17="","",IFERROR(INDEX('В10 Каталог'!$C$5:$C$19,MATCH(J17,'В10 Каталог'!$B$5:$B$19,0)),""))</f>
        <v/>
      </c>
      <c r="O17" s="21" t="n"/>
    </row>
    <row r="18">
      <c r="A18" s="15" t="n">
        <v>14</v>
      </c>
      <c r="B18" s="11" t="n"/>
      <c r="C18" s="11" t="n"/>
      <c r="D18" s="21" t="n"/>
      <c r="E18" s="11" t="n"/>
      <c r="F18" s="21" t="n"/>
      <c r="G18" s="21" t="n"/>
      <c r="H18" s="11" t="n"/>
      <c r="I18" s="21" t="n"/>
      <c r="J18" s="11" t="n"/>
      <c r="K18" s="11" t="n"/>
      <c r="L18" s="15">
        <f>IF(I18&lt;&gt;"Так","",IF(J18="","Оберіть захід",IF(K18="","Вкажіть, де в мережі",IF(D18="","Оберіть літеру STRIDE",IF(F18="","Вкажіть природу",IF(AND(INDEX('В10 Каталог'!$C$5:$C$19,MATCH(J18,'В10 Каталог'!$B$5:$B$19,0))="Лабораторна",F18="фізична",INDEX('В10 Каталог'!$A$5:$A$19,MATCH(J18,'В10 Каталог'!$B$5:$B$19,0))&lt;&gt;"L10"),"Мережевий захід не закриває фізичну загрозу",IF(AND(INDEX('В10 Каталог'!$C$5:$C$19,MATCH(J18,'В10 Каталог'!$B$5:$B$19,0))="Лабораторна",ISERROR(SEARCH(LEFT(D18,1),INDEX('В10 Каталог'!$D$5:$D$19,MATCH(J18,'В10 Каталог'!$B$5:$B$19,0))))),"Захід не діє на цей тип загрози",IF(AND(INDEX('В10 Каталог'!$C$5:$C$19,MATCH(J18,'В10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IF(J18="","",IFERROR(INDEX('В10 Каталог'!$E$5:$E$19,MATCH(J18,'В10 Каталог'!$B$5:$B$19,0)),""))</f>
        <v/>
      </c>
      <c r="N18" s="22">
        <f>IF(J18="","",IFERROR(INDEX('В10 Каталог'!$C$5:$C$19,MATCH(J18,'В10 Каталог'!$B$5:$B$19,0)),""))</f>
        <v/>
      </c>
      <c r="O18" s="21" t="n"/>
    </row>
    <row r="19">
      <c r="A19" s="15" t="n">
        <v>15</v>
      </c>
      <c r="B19" s="11" t="n"/>
      <c r="C19" s="11" t="n"/>
      <c r="D19" s="21" t="n"/>
      <c r="E19" s="11" t="n"/>
      <c r="F19" s="21" t="n"/>
      <c r="G19" s="21" t="n"/>
      <c r="H19" s="11" t="n"/>
      <c r="I19" s="21" t="n"/>
      <c r="J19" s="11" t="n"/>
      <c r="K19" s="11" t="n"/>
      <c r="L19" s="15">
        <f>IF(I19&lt;&gt;"Так","",IF(J19="","Оберіть захід",IF(K19="","Вкажіть, де в мережі",IF(D19="","Оберіть літеру STRIDE",IF(F19="","Вкажіть природу",IF(AND(INDEX('В10 Каталог'!$C$5:$C$19,MATCH(J19,'В10 Каталог'!$B$5:$B$19,0))="Лабораторна",F19="фізична",INDEX('В10 Каталог'!$A$5:$A$19,MATCH(J19,'В10 Каталог'!$B$5:$B$19,0))&lt;&gt;"L10"),"Мережевий захід не закриває фізичну загрозу",IF(AND(INDEX('В10 Каталог'!$C$5:$C$19,MATCH(J19,'В10 Каталог'!$B$5:$B$19,0))="Лабораторна",ISERROR(SEARCH(LEFT(D19,1),INDEX('В10 Каталог'!$D$5:$D$19,MATCH(J19,'В10 Каталог'!$B$5:$B$19,0))))),"Захід не діє на цей тип загрози",IF(AND(INDEX('В10 Каталог'!$C$5:$C$19,MATCH(J19,'В10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IF(J19="","",IFERROR(INDEX('В10 Каталог'!$E$5:$E$19,MATCH(J19,'В10 Каталог'!$B$5:$B$19,0)),""))</f>
        <v/>
      </c>
      <c r="N19" s="22">
        <f>IF(J19="","",IFERROR(INDEX('В10 Каталог'!$C$5:$C$19,MATCH(J19,'В10 Каталог'!$B$5:$B$19,0)),""))</f>
        <v/>
      </c>
      <c r="O19" s="21" t="n"/>
    </row>
    <row r="20">
      <c r="A20" s="15" t="n">
        <v>16</v>
      </c>
      <c r="B20" s="11" t="n"/>
      <c r="C20" s="11" t="n"/>
      <c r="D20" s="21" t="n"/>
      <c r="E20" s="11" t="n"/>
      <c r="F20" s="21" t="n"/>
      <c r="G20" s="21" t="n"/>
      <c r="H20" s="11" t="n"/>
      <c r="I20" s="21" t="n"/>
      <c r="J20" s="11" t="n"/>
      <c r="K20" s="11" t="n"/>
      <c r="L20" s="15">
        <f>IF(I20&lt;&gt;"Так","",IF(J20="","Оберіть захід",IF(K20="","Вкажіть, де в мережі",IF(D20="","Оберіть літеру STRIDE",IF(F20="","Вкажіть природу",IF(AND(INDEX('В10 Каталог'!$C$5:$C$19,MATCH(J20,'В10 Каталог'!$B$5:$B$19,0))="Лабораторна",F20="фізична",INDEX('В10 Каталог'!$A$5:$A$19,MATCH(J20,'В10 Каталог'!$B$5:$B$19,0))&lt;&gt;"L10"),"Мережевий захід не закриває фізичну загрозу",IF(AND(INDEX('В10 Каталог'!$C$5:$C$19,MATCH(J20,'В10 Каталог'!$B$5:$B$19,0))="Лабораторна",ISERROR(SEARCH(LEFT(D20,1),INDEX('В10 Каталог'!$D$5:$D$19,MATCH(J20,'В10 Каталог'!$B$5:$B$19,0))))),"Захід не діє на цей тип загрози",IF(AND(INDEX('В10 Каталог'!$C$5:$C$19,MATCH(J20,'В10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IF(J20="","",IFERROR(INDEX('В10 Каталог'!$E$5:$E$19,MATCH(J20,'В10 Каталог'!$B$5:$B$19,0)),""))</f>
        <v/>
      </c>
      <c r="N20" s="22">
        <f>IF(J20="","",IFERROR(INDEX('В10 Каталог'!$C$5:$C$19,MATCH(J20,'В10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природу",IF(AND(INDEX('В10 Каталог'!$C$5:$C$19,MATCH(J21,'В10 Каталог'!$B$5:$B$19,0))="Лабораторна",F21="фізична",INDEX('В10 Каталог'!$A$5:$A$19,MATCH(J21,'В10 Каталог'!$B$5:$B$19,0))&lt;&gt;"L10"),"Мережевий захід не закриває фізичну загрозу",IF(AND(INDEX('В10 Каталог'!$C$5:$C$19,MATCH(J21,'В10 Каталог'!$B$5:$B$19,0))="Лабораторна",ISERROR(SEARCH(LEFT(D21,1),INDEX('В10 Каталог'!$D$5:$D$19,MATCH(J21,'В10 Каталог'!$B$5:$B$19,0))))),"Захід не діє на цей тип загрози",IF(AND(INDEX('В10 Каталог'!$C$5:$C$19,MATCH(J21,'В10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IF(J21="","",IFERROR(INDEX('В10 Каталог'!$E$5:$E$19,MATCH(J21,'В10 Каталог'!$B$5:$B$19,0)),""))</f>
        <v/>
      </c>
      <c r="N21" s="22">
        <f>IF(J21="","",IFERROR(INDEX('В10 Каталог'!$C$5:$C$19,MATCH(J21,'В10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природу",IF(AND(INDEX('В10 Каталог'!$C$5:$C$19,MATCH(J22,'В10 Каталог'!$B$5:$B$19,0))="Лабораторна",F22="фізична",INDEX('В10 Каталог'!$A$5:$A$19,MATCH(J22,'В10 Каталог'!$B$5:$B$19,0))&lt;&gt;"L10"),"Мережевий захід не закриває фізичну загрозу",IF(AND(INDEX('В10 Каталог'!$C$5:$C$19,MATCH(J22,'В10 Каталог'!$B$5:$B$19,0))="Лабораторна",ISERROR(SEARCH(LEFT(D22,1),INDEX('В10 Каталог'!$D$5:$D$19,MATCH(J22,'В10 Каталог'!$B$5:$B$19,0))))),"Захід не діє на цей тип загрози",IF(AND(INDEX('В10 Каталог'!$C$5:$C$19,MATCH(J22,'В10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IF(J22="","",IFERROR(INDEX('В10 Каталог'!$E$5:$E$19,MATCH(J22,'В10 Каталог'!$B$5:$B$19,0)),""))</f>
        <v/>
      </c>
      <c r="N22" s="22">
        <f>IF(J22="","",IFERROR(INDEX('В10 Каталог'!$C$5:$C$19,MATCH(J22,'В10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природу",IF(AND(INDEX('В10 Каталог'!$C$5:$C$19,MATCH(J23,'В10 Каталог'!$B$5:$B$19,0))="Лабораторна",F23="фізична",INDEX('В10 Каталог'!$A$5:$A$19,MATCH(J23,'В10 Каталог'!$B$5:$B$19,0))&lt;&gt;"L10"),"Мережевий захід не закриває фізичну загрозу",IF(AND(INDEX('В10 Каталог'!$C$5:$C$19,MATCH(J23,'В10 Каталог'!$B$5:$B$19,0))="Лабораторна",ISERROR(SEARCH(LEFT(D23,1),INDEX('В10 Каталог'!$D$5:$D$19,MATCH(J23,'В10 Каталог'!$B$5:$B$19,0))))),"Захід не діє на цей тип загрози",IF(AND(INDEX('В10 Каталог'!$C$5:$C$19,MATCH(J23,'В10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IF(J23="","",IFERROR(INDEX('В10 Каталог'!$E$5:$E$19,MATCH(J23,'В10 Каталог'!$B$5:$B$19,0)),""))</f>
        <v/>
      </c>
      <c r="N23" s="22">
        <f>IF(J23="","",IFERROR(INDEX('В10 Каталог'!$C$5:$C$19,MATCH(J23,'В10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природу",IF(AND(INDEX('В10 Каталог'!$C$5:$C$19,MATCH(J24,'В10 Каталог'!$B$5:$B$19,0))="Лабораторна",F24="фізична",INDEX('В10 Каталог'!$A$5:$A$19,MATCH(J24,'В10 Каталог'!$B$5:$B$19,0))&lt;&gt;"L10"),"Мережевий захід не закриває фізичну загрозу",IF(AND(INDEX('В10 Каталог'!$C$5:$C$19,MATCH(J24,'В10 Каталог'!$B$5:$B$19,0))="Лабораторна",ISERROR(SEARCH(LEFT(D24,1),INDEX('В10 Каталог'!$D$5:$D$19,MATCH(J24,'В10 Каталог'!$B$5:$B$19,0))))),"Захід не діє на цей тип загрози",IF(AND(INDEX('В10 Каталог'!$C$5:$C$19,MATCH(J24,'В10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IF(J24="","",IFERROR(INDEX('В10 Каталог'!$E$5:$E$19,MATCH(J24,'В10 Каталог'!$B$5:$B$19,0)),""))</f>
        <v/>
      </c>
      <c r="N24" s="22">
        <f>IF(J24="","",IFERROR(INDEX('В10 Каталог'!$C$5:$C$19,MATCH(J24,'В10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природу",IF(AND(INDEX('В10 Каталог'!$C$5:$C$19,MATCH(J25,'В10 Каталог'!$B$5:$B$19,0))="Лабораторна",F25="фізична",INDEX('В10 Каталог'!$A$5:$A$19,MATCH(J25,'В10 Каталог'!$B$5:$B$19,0))&lt;&gt;"L10"),"Мережевий захід не закриває фізичну загрозу",IF(AND(INDEX('В10 Каталог'!$C$5:$C$19,MATCH(J25,'В10 Каталог'!$B$5:$B$19,0))="Лабораторна",ISERROR(SEARCH(LEFT(D25,1),INDEX('В10 Каталог'!$D$5:$D$19,MATCH(J25,'В10 Каталог'!$B$5:$B$19,0))))),"Захід не діє на цей тип загрози",IF(AND(INDEX('В10 Каталог'!$C$5:$C$19,MATCH(J25,'В10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IF(J25="","",IFERROR(INDEX('В10 Каталог'!$E$5:$E$19,MATCH(J25,'В10 Каталог'!$B$5:$B$19,0)),""))</f>
        <v/>
      </c>
      <c r="N25" s="22">
        <f>IF(J25="","",IFERROR(INDEX('В10 Каталог'!$C$5:$C$19,MATCH(J25,'В10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природу",IF(AND(INDEX('В10 Каталог'!$C$5:$C$19,MATCH(J26,'В10 Каталог'!$B$5:$B$19,0))="Лабораторна",F26="фізична",INDEX('В10 Каталог'!$A$5:$A$19,MATCH(J26,'В10 Каталог'!$B$5:$B$19,0))&lt;&gt;"L10"),"Мережевий захід не закриває фізичну загрозу",IF(AND(INDEX('В10 Каталог'!$C$5:$C$19,MATCH(J26,'В10 Каталог'!$B$5:$B$19,0))="Лабораторна",ISERROR(SEARCH(LEFT(D26,1),INDEX('В10 Каталог'!$D$5:$D$19,MATCH(J26,'В10 Каталог'!$B$5:$B$19,0))))),"Захід не діє на цей тип загрози",IF(AND(INDEX('В10 Каталог'!$C$5:$C$19,MATCH(J26,'В10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IF(J26="","",IFERROR(INDEX('В10 Каталог'!$E$5:$E$19,MATCH(J26,'В10 Каталог'!$B$5:$B$19,0)),""))</f>
        <v/>
      </c>
      <c r="N26" s="22">
        <f>IF(J26="","",IFERROR(INDEX('В10 Каталог'!$C$5:$C$19,MATCH(J26,'В10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природу",IF(AND(INDEX('В10 Каталог'!$C$5:$C$19,MATCH(J27,'В10 Каталог'!$B$5:$B$19,0))="Лабораторна",F27="фізична",INDEX('В10 Каталог'!$A$5:$A$19,MATCH(J27,'В10 Каталог'!$B$5:$B$19,0))&lt;&gt;"L10"),"Мережевий захід не закриває фізичну загрозу",IF(AND(INDEX('В10 Каталог'!$C$5:$C$19,MATCH(J27,'В10 Каталог'!$B$5:$B$19,0))="Лабораторна",ISERROR(SEARCH(LEFT(D27,1),INDEX('В10 Каталог'!$D$5:$D$19,MATCH(J27,'В10 Каталог'!$B$5:$B$19,0))))),"Захід не діє на цей тип загрози",IF(AND(INDEX('В10 Каталог'!$C$5:$C$19,MATCH(J27,'В10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IF(J27="","",IFERROR(INDEX('В10 Каталог'!$E$5:$E$19,MATCH(J27,'В10 Каталог'!$B$5:$B$19,0)),""))</f>
        <v/>
      </c>
      <c r="N27" s="22">
        <f>IF(J27="","",IFERROR(INDEX('В10 Каталог'!$C$5:$C$19,MATCH(J27,'В10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природу",IF(AND(INDEX('В10 Каталог'!$C$5:$C$19,MATCH(J28,'В10 Каталог'!$B$5:$B$19,0))="Лабораторна",F28="фізична",INDEX('В10 Каталог'!$A$5:$A$19,MATCH(J28,'В10 Каталог'!$B$5:$B$19,0))&lt;&gt;"L10"),"Мережевий захід не закриває фізичну загрозу",IF(AND(INDEX('В10 Каталог'!$C$5:$C$19,MATCH(J28,'В10 Каталог'!$B$5:$B$19,0))="Лабораторна",ISERROR(SEARCH(LEFT(D28,1),INDEX('В10 Каталог'!$D$5:$D$19,MATCH(J28,'В10 Каталог'!$B$5:$B$19,0))))),"Захід не діє на цей тип загрози",IF(AND(INDEX('В10 Каталог'!$C$5:$C$19,MATCH(J28,'В10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IF(J28="","",IFERROR(INDEX('В10 Каталог'!$E$5:$E$19,MATCH(J28,'В10 Каталог'!$B$5:$B$19,0)),""))</f>
        <v/>
      </c>
      <c r="N28" s="22">
        <f>IF(J28="","",IFERROR(INDEX('В10 Каталог'!$C$5:$C$19,MATCH(J28,'В10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природу",IF(AND(INDEX('В10 Каталог'!$C$5:$C$19,MATCH(J29,'В10 Каталог'!$B$5:$B$19,0))="Лабораторна",F29="фізична",INDEX('В10 Каталог'!$A$5:$A$19,MATCH(J29,'В10 Каталог'!$B$5:$B$19,0))&lt;&gt;"L10"),"Мережевий захід не закриває фізичну загрозу",IF(AND(INDEX('В10 Каталог'!$C$5:$C$19,MATCH(J29,'В10 Каталог'!$B$5:$B$19,0))="Лабораторна",ISERROR(SEARCH(LEFT(D29,1),INDEX('В10 Каталог'!$D$5:$D$19,MATCH(J29,'В10 Каталог'!$B$5:$B$19,0))))),"Захід не діє на цей тип загрози",IF(AND(INDEX('В10 Каталог'!$C$5:$C$19,MATCH(J29,'В10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IF(J29="","",IFERROR(INDEX('В10 Каталог'!$E$5:$E$19,MATCH(J29,'В10 Каталог'!$B$5:$B$19,0)),""))</f>
        <v/>
      </c>
      <c r="N29" s="22">
        <f>IF(J29="","",IFERROR(INDEX('В10 Каталог'!$C$5:$C$19,MATCH(J29,'В10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природу",IF(AND(INDEX('В10 Каталог'!$C$5:$C$19,MATCH(J30,'В10 Каталог'!$B$5:$B$19,0))="Лабораторна",F30="фізична",INDEX('В10 Каталог'!$A$5:$A$19,MATCH(J30,'В10 Каталог'!$B$5:$B$19,0))&lt;&gt;"L10"),"Мережевий захід не закриває фізичну загрозу",IF(AND(INDEX('В10 Каталог'!$C$5:$C$19,MATCH(J30,'В10 Каталог'!$B$5:$B$19,0))="Лабораторна",ISERROR(SEARCH(LEFT(D30,1),INDEX('В10 Каталог'!$D$5:$D$19,MATCH(J30,'В10 Каталог'!$B$5:$B$19,0))))),"Захід не діє на цей тип загрози",IF(AND(INDEX('В10 Каталог'!$C$5:$C$19,MATCH(J30,'В10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IF(J30="","",IFERROR(INDEX('В10 Каталог'!$E$5:$E$19,MATCH(J30,'В10 Каталог'!$B$5:$B$19,0)),""))</f>
        <v/>
      </c>
      <c r="N30" s="22">
        <f>IF(J30="","",IFERROR(INDEX('В10 Каталог'!$C$5:$C$19,MATCH(J30,'В10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природу",IF(AND(INDEX('В10 Каталог'!$C$5:$C$19,MATCH(J31,'В10 Каталог'!$B$5:$B$19,0))="Лабораторна",F31="фізична",INDEX('В10 Каталог'!$A$5:$A$19,MATCH(J31,'В10 Каталог'!$B$5:$B$19,0))&lt;&gt;"L10"),"Мережевий захід не закриває фізичну загрозу",IF(AND(INDEX('В10 Каталог'!$C$5:$C$19,MATCH(J31,'В10 Каталог'!$B$5:$B$19,0))="Лабораторна",ISERROR(SEARCH(LEFT(D31,1),INDEX('В10 Каталог'!$D$5:$D$19,MATCH(J31,'В10 Каталог'!$B$5:$B$19,0))))),"Захід не діє на цей тип загрози",IF(AND(INDEX('В10 Каталог'!$C$5:$C$19,MATCH(J31,'В10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IF(J31="","",IFERROR(INDEX('В10 Каталог'!$E$5:$E$19,MATCH(J31,'В10 Каталог'!$B$5:$B$19,0)),""))</f>
        <v/>
      </c>
      <c r="N31" s="22">
        <f>IF(J31="","",IFERROR(INDEX('В10 Каталог'!$C$5:$C$19,MATCH(J31,'В10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природу",IF(AND(INDEX('В10 Каталог'!$C$5:$C$19,MATCH(J32,'В10 Каталог'!$B$5:$B$19,0))="Лабораторна",F32="фізична",INDEX('В10 Каталог'!$A$5:$A$19,MATCH(J32,'В10 Каталог'!$B$5:$B$19,0))&lt;&gt;"L10"),"Мережевий захід не закриває фізичну загрозу",IF(AND(INDEX('В10 Каталог'!$C$5:$C$19,MATCH(J32,'В10 Каталог'!$B$5:$B$19,0))="Лабораторна",ISERROR(SEARCH(LEFT(D32,1),INDEX('В10 Каталог'!$D$5:$D$19,MATCH(J32,'В10 Каталог'!$B$5:$B$19,0))))),"Захід не діє на цей тип загрози",IF(AND(INDEX('В10 Каталог'!$C$5:$C$19,MATCH(J32,'В10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IF(J32="","",IFERROR(INDEX('В10 Каталог'!$E$5:$E$19,MATCH(J32,'В10 Каталог'!$B$5:$B$19,0)),""))</f>
        <v/>
      </c>
      <c r="N32" s="22">
        <f>IF(J32="","",IFERROR(INDEX('В10 Каталог'!$C$5:$C$19,MATCH(J32,'В10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природу",IF(AND(INDEX('В10 Каталог'!$C$5:$C$19,MATCH(J33,'В10 Каталог'!$B$5:$B$19,0))="Лабораторна",F33="фізична",INDEX('В10 Каталог'!$A$5:$A$19,MATCH(J33,'В10 Каталог'!$B$5:$B$19,0))&lt;&gt;"L10"),"Мережевий захід не закриває фізичну загрозу",IF(AND(INDEX('В10 Каталог'!$C$5:$C$19,MATCH(J33,'В10 Каталог'!$B$5:$B$19,0))="Лабораторна",ISERROR(SEARCH(LEFT(D33,1),INDEX('В10 Каталог'!$D$5:$D$19,MATCH(J33,'В10 Каталог'!$B$5:$B$19,0))))),"Захід не діє на цей тип загрози",IF(AND(INDEX('В10 Каталог'!$C$5:$C$19,MATCH(J33,'В10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IF(J33="","",IFERROR(INDEX('В10 Каталог'!$E$5:$E$19,MATCH(J33,'В10 Каталог'!$B$5:$B$19,0)),""))</f>
        <v/>
      </c>
      <c r="N33" s="22">
        <f>IF(J33="","",IFERROR(INDEX('В10 Каталог'!$C$5:$C$19,MATCH(J33,'В10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природу",IF(AND(INDEX('В10 Каталог'!$C$5:$C$19,MATCH(J34,'В10 Каталог'!$B$5:$B$19,0))="Лабораторна",F34="фізична",INDEX('В10 Каталог'!$A$5:$A$19,MATCH(J34,'В10 Каталог'!$B$5:$B$19,0))&lt;&gt;"L10"),"Мережевий захід не закриває фізичну загрозу",IF(AND(INDEX('В10 Каталог'!$C$5:$C$19,MATCH(J34,'В10 Каталог'!$B$5:$B$19,0))="Лабораторна",ISERROR(SEARCH(LEFT(D34,1),INDEX('В10 Каталог'!$D$5:$D$19,MATCH(J34,'В10 Каталог'!$B$5:$B$19,0))))),"Захід не діє на цей тип загрози",IF(AND(INDEX('В10 Каталог'!$C$5:$C$19,MATCH(J34,'В10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IF(J34="","",IFERROR(INDEX('В10 Каталог'!$E$5:$E$19,MATCH(J34,'В10 Каталог'!$B$5:$B$19,0)),""))</f>
        <v/>
      </c>
      <c r="N34" s="22">
        <f>IF(J34="","",IFERROR(INDEX('В10 Каталог'!$C$5:$C$19,MATCH(J34,'В10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='В10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='В10 Каталог'!$B$5:$B$19</formula1>
    </dataValidation>
  </dataValidation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tabColor rgb="005F6B76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2"/>
    <row r="3"/>
    <row r="4">
      <c r="A4" s="23" t="inlineStr">
        <is>
          <t>Загроз у таблиці</t>
        </is>
      </c>
      <c r="B4" s="24">
        <f>COUNTA('В10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COUNTIF('В10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COUNTIF('В10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COUNTIF('В10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COUNTIF('В10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COUNTIF('В10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COUNTIF('В10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COUNTIF('В10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COUNTIF('В10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COUNTIF('В10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COUNTIF('В10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COUNTIF('В10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COUNTIF('В10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COUNTIF('В10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SUMPRODUCT(('В10 Загрози і заходи'!I5:I34="Так")*('В10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COUNTIFS('В10 Загрози і заходи'!I5:I34,"Так",'В10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COUNTIF('В10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tabColor rgb="005F6B76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3"/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n"/>
      <c r="B5" s="11" t="n"/>
      <c r="C5" s="11" t="n"/>
      <c r="D5" s="11" t="n"/>
    </row>
    <row r="6" ht="70" customHeight="1">
      <c r="A6" s="11" t="n"/>
      <c r="B6" s="11" t="n"/>
      <c r="C6" s="11" t="n"/>
      <c r="D6" s="11" t="n"/>
    </row>
    <row r="7" ht="70" customHeight="1">
      <c r="A7" s="11" t="n"/>
      <c r="B7" s="11" t="n"/>
      <c r="C7" s="11" t="n"/>
      <c r="D7" s="11" t="n"/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1"/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n"/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15EA09E6D44F04384841D5FBD71E5CF" ma:contentTypeVersion="4" ma:contentTypeDescription="Створення нового документа." ma:contentTypeScope="" ma:versionID="19ef49009c02501cdf63fa9c76fb0ddf">
  <xsd:schema xmlns:xsd="http://www.w3.org/2001/XMLSchema" xmlns:xs="http://www.w3.org/2001/XMLSchema" xmlns:p="http://schemas.microsoft.com/office/2006/metadata/properties" xmlns:ns2="8f3bc569-9ab2-4830-a415-693d9bfcfeb5" targetNamespace="http://schemas.microsoft.com/office/2006/metadata/properties" ma:root="true" ma:fieldsID="7fa71622a43fff10fba745f8a14a06f8" ns2:_="">
    <xsd:import namespace="8f3bc569-9ab2-4830-a415-693d9bfcfeb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bc569-9ab2-4830-a415-693d9bfcfeb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f3bc569-9ab2-4830-a415-693d9bfcfeb5" xsi:nil="true"/>
  </documentManagement>
</p:properties>
</file>

<file path=customXml/itemProps1.xml><?xml version="1.0" encoding="utf-8"?>
<ds:datastoreItem xmlns:ds="http://schemas.openxmlformats.org/officeDocument/2006/customXml" ds:itemID="{61E8A42B-7D3D-4B15-9C24-2F739A64A3BF}"/>
</file>

<file path=customXml/itemProps2.xml><?xml version="1.0" encoding="utf-8"?>
<ds:datastoreItem xmlns:ds="http://schemas.openxmlformats.org/officeDocument/2006/customXml" ds:itemID="{88BFD428-DFC2-4442-A8B3-A7966C32CFAA}"/>
</file>

<file path=customXml/itemProps3.xml><?xml version="1.0" encoding="utf-8"?>
<ds:datastoreItem xmlns:ds="http://schemas.openxmlformats.org/officeDocument/2006/customXml" ds:itemID="{D1F72F7F-2DE9-412C-BE17-0E1E406D2F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2026-10-20T08:52:16Z</dcterms:created>
  <dcterms:modified xsi:type="dcterms:W3CDTF">2026-10-20T08:52:21Z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0x010100515EA09E6D44F04384841D5FBD71E5CF</vt:lpwstr>
  </property>
</Properties>
</file>