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08 Інструкція" sheetId="1" state="visible" r:id="rId1"/>
    <sheet xmlns:r="http://schemas.openxmlformats.org/officeDocument/2006/relationships" name="В08 Картка" sheetId="2" state="visible" r:id="rId2"/>
    <sheet xmlns:r="http://schemas.openxmlformats.org/officeDocument/2006/relationships" name="В08 Каталог" sheetId="3" state="visible" r:id="rId3"/>
    <sheet xmlns:r="http://schemas.openxmlformats.org/officeDocument/2006/relationships" name="В08 Чернетка колеги" sheetId="4" state="visible" r:id="rId4"/>
    <sheet xmlns:r="http://schemas.openxmlformats.org/officeDocument/2006/relationships" name="В08 Загрози і заходи" sheetId="5" state="visible" r:id="rId5"/>
    <sheet xmlns:r="http://schemas.openxmlformats.org/officeDocument/2006/relationships" name="В08 Підсумок" sheetId="6" state="visible" r:id="rId6"/>
    <sheet xmlns:r="http://schemas.openxmlformats.org/officeDocument/2006/relationships" name="В08 Обґрунтуванн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2"/>
    </font>
    <font>
      <name val="Calibri"/>
      <i val="1"/>
      <sz val="10"/>
    </font>
    <font>
      <name val="Calibri"/>
      <b val="1"/>
      <color rgb="00FFFFFF"/>
      <sz val="11"/>
    </font>
    <font>
      <b val="1"/>
      <color rgb="001F3864"/>
      <sz val="15"/>
    </font>
    <font>
      <i val="1"/>
      <color rgb="00595959"/>
      <sz val="1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top" wrapText="1"/>
      <protection locked="0" hidden="0"/>
    </xf>
    <xf numFmtId="0" fontId="4" fillId="3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D7B"/>
    <outlinePr summaryBelow="1" summaryRight="1"/>
    <pageSetUpPr/>
  </sheetPr>
  <dimension ref="A1:B15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ПР 2. Модель загроз: шлях платіжної картки. Варіант 08</t>
        </is>
      </c>
    </row>
    <row r="2">
      <c r="A2" s="6" t="inlineStr">
        <is>
          <t>Працюйте в жовтих комірках. Сірі комірки рахуються самі (захищені). Схему малюйте у файлі PowerPoint.</t>
        </is>
      </c>
    </row>
    <row r="4">
      <c r="A4" s="7" t="inlineStr">
        <is>
          <t>Порядок роботи</t>
        </is>
      </c>
      <c r="B4" s="8" t="n"/>
    </row>
    <row r="5">
      <c r="A5" s="9" t="inlineStr">
        <is>
          <t>1. Схема (питання 1)</t>
        </is>
      </c>
      <c r="B5" s="8" t="inlineStr">
        <is>
          <t>У файлі PowerPoint домалюйте стрілки потоків, підпишіть, що передається, і проведіть межі довіри M1–M6. Межі запишіть також на аркуші «Картка».</t>
        </is>
      </c>
    </row>
    <row r="6">
      <c r="A6" s="9" t="inlineStr">
        <is>
          <t>2. Загрози (питання 2)</t>
        </is>
      </c>
      <c r="B6" s="8" t="inlineStr">
        <is>
          <t>Для кожної межі знайдіть загрози за STRIDE (≥ 12 загроз; усі шість меж і всі шість літер). Знайдіть три помилки в аркуші «Чернетка колеги».</t>
        </is>
      </c>
    </row>
    <row r="7">
      <c r="A7" s="9" t="inlineStr">
        <is>
          <t>3. Заходи (питання 3)</t>
        </is>
      </c>
      <c r="B7" s="8" t="inlineStr">
        <is>
          <t>Позначте 8 найсерйозніших загроз («Так» у «Топ-8»), оберіть захід із «Каталогу» і напишіть, де саме в мережі він працює. Якщо мережа загрозу не закриває, оберіть захід «Поза курсом» і поясніть.</t>
        </is>
      </c>
    </row>
    <row r="8">
      <c r="A8" s="9" t="inlineStr">
        <is>
          <t>4. Нова обставина</t>
        </is>
      </c>
      <c r="B8" s="8" t="inlineStr">
        <is>
          <t>Коли завершите кроки 1–3, відкрийте окремий файл «Нова обставина» (не раніше). Додайте межу M7 і ≥ 2 нові загрози з заходами, поправте схему й запишіть, що змінилось (аркуш «Обґрунтування»).</t>
        </is>
      </c>
    </row>
    <row r="9">
      <c r="A9" s="9" t="inlineStr">
        <is>
          <t>5. Обґрунтування</t>
        </is>
      </c>
      <c r="B9" s="8" t="inlineStr">
        <is>
          <t>Власними словами поясніть вибір для 2–3 загроз (аркуш «Обґрунтування»).</t>
        </is>
      </c>
    </row>
    <row r="10">
      <c r="A10" s="9" t="n"/>
      <c r="B10" s="8" t="n"/>
    </row>
    <row r="11">
      <c r="A11" s="9" t="inlineStr">
        <is>
          <t>STRIDE</t>
        </is>
      </c>
      <c r="B11" s="8" t="inlineStr">
        <is>
          <t>S — підміна (хтось видає себе за іншого) · T — зміна даних · R — відмова від дій (немає доказів, хто що зробив) · I — витік (хтось читає чуже) · D — відмова в обслуговуванні · E — підвищення прав (хтось отримує більше прав, ніж мав би)</t>
        </is>
      </c>
    </row>
    <row r="12">
      <c r="A12" s="9" t="inlineStr">
        <is>
          <t>Серйозність загрози</t>
        </is>
      </c>
      <c r="B12" s="8" t="inlineStr">
        <is>
          <t>1 — незначна: без збитків для грошей і даних карток. 2 — суттєва: обмежені збитки або тимчасова зупинка. 3 — серйозна: масова компрометація карток, значні гроші або зупинка платежів.</t>
        </is>
      </c>
    </row>
    <row r="13">
      <c r="A13" s="9" t="inlineStr">
        <is>
          <t>Природа загрози</t>
        </is>
      </c>
      <c r="B13" s="8" t="inlineStr">
        <is>
          <t>мережева — закривається налаштуванням мережі; фізична — потрібен доступ до пристрою; організаційна — залежить від процедур і договорів.</t>
        </is>
      </c>
    </row>
    <row r="14">
      <c r="A14" s="9" t="inlineStr">
        <is>
          <t>Перевірка заходу</t>
        </is>
      </c>
      <c r="B14" s="8" t="inlineStr">
        <is>
          <t>Лабораторний захід має діяти на вашу літеру STRIDE (див. «Каталог»). Мережевий захід не закриває фізичну загрозу. Для мережевої загрози потрібен захід з лабораторних. Для решти допустимі заходи «Поза курсом».</t>
        </is>
      </c>
    </row>
    <row r="15">
      <c r="A15" s="9" t="inlineStr">
        <is>
          <t>Зв'язок із ПР 1</t>
        </is>
      </c>
      <c r="B15" s="8" t="inlineStr">
        <is>
          <t>У колонці «Категорія ризику з ПР 1» вкажіть, до якого ризику з вашого реєстру ПР 1 належить загроза.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D7B"/>
    <outlinePr summaryBelow="1" summaryRight="1"/>
    <pageSetUpPr/>
  </sheetPr>
  <dimension ref="A1:C19"/>
  <sheetViews>
    <sheetView tabSelected="0"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60" customWidth="1" min="3" max="3"/>
  </cols>
  <sheetData>
    <row r="1">
      <c r="A1" s="5" t="inlineStr">
        <is>
          <t>Картка варіанта 08</t>
        </is>
      </c>
    </row>
    <row r="3">
      <c r="A3" s="10" t="inlineStr">
        <is>
          <t>Студент (прізвище)</t>
        </is>
      </c>
      <c r="B3" s="11" t="inlineStr">
        <is>
          <t>Кравченко</t>
        </is>
      </c>
    </row>
    <row r="4">
      <c r="A4" s="10" t="inlineStr">
        <is>
          <t>Точка прийому</t>
        </is>
      </c>
      <c r="B4" s="12" t="inlineStr">
        <is>
          <t>стаціонарний POS-термінал на касі</t>
        </is>
      </c>
    </row>
    <row r="5">
      <c r="A5" s="10" t="inlineStr">
        <is>
          <t>Підключення точки до мережі</t>
        </is>
      </c>
      <c r="B5" s="12" t="inlineStr">
        <is>
          <t>Wi-Fi відділення</t>
        </is>
      </c>
    </row>
    <row r="6">
      <c r="A6" s="10" t="inlineStr">
        <is>
          <t>Зв'язок відділення зі шлюзом</t>
        </is>
      </c>
      <c r="B6" s="12" t="inlineStr">
        <is>
          <t>виділена лінія до головного офісу</t>
        </is>
      </c>
    </row>
    <row r="7">
      <c r="A7" s="10" t="inlineStr">
        <is>
          <t>Особливий учасник</t>
        </is>
      </c>
      <c r="B7" s="12" t="inlineStr">
        <is>
          <t>підрядник-інтегратор мережі й Wi-Fi: адміністрування Wi-Fi та комутаторів відділення</t>
        </is>
      </c>
    </row>
    <row r="8">
      <c r="A8" s="10" t="inlineStr">
        <is>
          <t>Платіжний шлюз</t>
        </is>
      </c>
      <c r="B8" s="12" t="inlineStr">
        <is>
          <t>у центрі обробки; після нього АБС (головний офіс)</t>
        </is>
      </c>
    </row>
    <row r="9">
      <c r="A9" s="10" t="inlineStr">
        <is>
          <t>Шлях картки</t>
        </is>
      </c>
      <c r="B9" s="12" t="inlineStr">
        <is>
          <t>клієнт → точка прийому → мережа відділення → зовнішній канал → платіжний шлюз → АБС</t>
        </is>
      </c>
    </row>
    <row r="11">
      <c r="A11" s="13" t="inlineStr">
        <is>
          <t>Межі довіри на шляху: опишіть, між чим і чим проходить кожна межа</t>
        </is>
      </c>
    </row>
    <row r="12">
      <c r="A12" s="14" t="inlineStr">
        <is>
          <t>На шляху шість меж довіри (M1–M6), якщо рахувати й особливого учасника. M7 з'явиться після нової обставини.</t>
        </is>
      </c>
    </row>
    <row r="13">
      <c r="A13" s="15" t="inlineStr">
        <is>
          <t>M1</t>
        </is>
      </c>
      <c r="B13" s="11" t="inlineStr">
        <is>
          <t>Клієнт і картка ↔ POS-термінал на касі (зчитувач картки, ПІН-клавіатура)</t>
        </is>
      </c>
      <c r="C13" s="15">
        <f>A13&amp;". "&amp;B13</f>
        <v/>
      </c>
    </row>
    <row r="14">
      <c r="A14" s="15" t="inlineStr">
        <is>
          <t>M2</t>
        </is>
      </c>
      <c r="B14" s="11" t="inlineStr">
        <is>
          <t>POS-термінал ↔ Wi-Fi відділення (радіоефір доступний будь-кому поблизу)</t>
        </is>
      </c>
      <c r="C14" s="15">
        <f>A14&amp;". "&amp;B14</f>
        <v/>
      </c>
    </row>
    <row r="15">
      <c r="A15" s="15" t="inlineStr">
        <is>
          <t>M3</t>
        </is>
      </c>
      <c r="B15" s="11" t="inlineStr">
        <is>
          <t>Точки доступу Wi-Fi ↔ дротова мережа відділення (комутатори, каси, АБС)</t>
        </is>
      </c>
      <c r="C15" s="15">
        <f>A15&amp;". "&amp;B15</f>
        <v/>
      </c>
    </row>
    <row r="16">
      <c r="A16" s="15" t="inlineStr">
        <is>
          <t>M4</t>
        </is>
      </c>
      <c r="B16" s="11" t="inlineStr">
        <is>
          <t>Маршрутизатор відділення ↔ виділена лінія оператора до головного офісу</t>
        </is>
      </c>
      <c r="C16" s="15">
        <f>A16&amp;". "&amp;B16</f>
        <v/>
      </c>
    </row>
    <row r="17">
      <c r="A17" s="15" t="inlineStr">
        <is>
          <t>M5</t>
        </is>
      </c>
      <c r="B17" s="11" t="inlineStr">
        <is>
          <t>Головний офіс ↔ платіжний шлюз і АБС у центрі обробки</t>
        </is>
      </c>
      <c r="C17" s="15">
        <f>A17&amp;". "&amp;B17</f>
        <v/>
      </c>
    </row>
    <row r="18">
      <c r="A18" s="15" t="inlineStr">
        <is>
          <t>M6</t>
        </is>
      </c>
      <c r="B18" s="11" t="inlineStr">
        <is>
          <t>Підрядник-інтегратор ↔ інтерфейси керування Wi-Fi і комутаторів</t>
        </is>
      </c>
      <c r="C18" s="15">
        <f>A18&amp;". "&amp;B18</f>
        <v/>
      </c>
    </row>
    <row r="19">
      <c r="A19" s="15" t="inlineStr">
        <is>
          <t>M7</t>
        </is>
      </c>
      <c r="B19" s="11" t="n"/>
      <c r="C19" s="15">
        <f>A19&amp;". "&amp;B19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7D7B"/>
    <outlinePr summaryBelow="1" summaryRight="1"/>
    <pageSetUpPr/>
  </sheetPr>
  <dimension ref="A1:E19"/>
  <sheetViews>
    <sheetView tabSelected="0"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6" customWidth="1" min="3" max="3"/>
    <col width="16" customWidth="1" min="4" max="4"/>
    <col width="14" customWidth="1" min="5" max="5"/>
  </cols>
  <sheetData>
    <row r="1">
      <c r="A1" s="5" t="inlineStr">
        <is>
          <t>Каталог заходів</t>
        </is>
      </c>
    </row>
    <row r="2">
      <c r="A2" s="6" t="inlineStr">
        <is>
          <t>Лабораторні заходи вивчатимете далі в курсі. Літери показують, які типи STRIDE захід закриває. Заходи «Поза курсом» теж допустимі, але лише там, де мережа не допоможе.</t>
        </is>
      </c>
    </row>
    <row r="4" ht="44" customHeight="1">
      <c r="A4" s="16" t="inlineStr">
        <is>
          <t>Код</t>
        </is>
      </c>
      <c r="B4" s="16" t="inlineStr">
        <is>
          <t>Назва заходу</t>
        </is>
      </c>
      <c r="C4" s="16" t="inlineStr">
        <is>
          <t>Тип</t>
        </is>
      </c>
      <c r="D4" s="16" t="inlineStr">
        <is>
          <t>Діє на STRIDE</t>
        </is>
      </c>
      <c r="E4" s="16" t="inlineStr">
        <is>
          <t>Лабораторна</t>
        </is>
      </c>
    </row>
    <row r="5">
      <c r="A5" s="15" t="inlineStr">
        <is>
          <t>L1</t>
        </is>
      </c>
      <c r="B5" s="15" t="inlineStr">
        <is>
          <t>ЛР1. Сегментація VLAN і маршрутизація між ними</t>
        </is>
      </c>
      <c r="C5" s="15" t="inlineStr">
        <is>
          <t>Лабораторна</t>
        </is>
      </c>
      <c r="D5" s="15" t="inlineStr">
        <is>
          <t>I E</t>
        </is>
      </c>
      <c r="E5" s="15" t="inlineStr">
        <is>
          <t>ЛР 1</t>
        </is>
      </c>
    </row>
    <row r="6">
      <c r="A6" s="15" t="inlineStr">
        <is>
          <t>L2</t>
        </is>
      </c>
      <c r="B6" s="15" t="inlineStr">
        <is>
          <t>ЛР2. Port Security на портах комутатора</t>
        </is>
      </c>
      <c r="C6" s="15" t="inlineStr">
        <is>
          <t>Лабораторна</t>
        </is>
      </c>
      <c r="D6" s="15" t="inlineStr">
        <is>
          <t>S</t>
        </is>
      </c>
      <c r="E6" s="15" t="inlineStr">
        <is>
          <t>ЛР 2</t>
        </is>
      </c>
    </row>
    <row r="7">
      <c r="A7" s="15" t="inlineStr">
        <is>
          <t>L3</t>
        </is>
      </c>
      <c r="B7" s="15" t="inlineStr">
        <is>
          <t>ЛР3. DHCP Snooping</t>
        </is>
      </c>
      <c r="C7" s="15" t="inlineStr">
        <is>
          <t>Лабораторна</t>
        </is>
      </c>
      <c r="D7" s="15" t="inlineStr">
        <is>
          <t>S T</t>
        </is>
      </c>
      <c r="E7" s="15" t="inlineStr">
        <is>
          <t>ЛР 3</t>
        </is>
      </c>
    </row>
    <row r="8">
      <c r="A8" s="15" t="inlineStr">
        <is>
          <t>L4</t>
        </is>
      </c>
      <c r="B8" s="15" t="inlineStr">
        <is>
          <t>ЛР4. Списки доступу (ACL) між зонами</t>
        </is>
      </c>
      <c r="C8" s="15" t="inlineStr">
        <is>
          <t>Лабораторна</t>
        </is>
      </c>
      <c r="D8" s="15" t="inlineStr">
        <is>
          <t>E I T</t>
        </is>
      </c>
      <c r="E8" s="15" t="inlineStr">
        <is>
          <t>ЛР 4</t>
        </is>
      </c>
    </row>
    <row r="9">
      <c r="A9" s="15" t="inlineStr">
        <is>
          <t>L5</t>
        </is>
      </c>
      <c r="B9" s="15" t="inlineStr">
        <is>
          <t>ЛР5. Міжмережевий екран ASA: зони й NAT</t>
        </is>
      </c>
      <c r="C9" s="15" t="inlineStr">
        <is>
          <t>Лабораторна</t>
        </is>
      </c>
      <c r="D9" s="15" t="inlineStr">
        <is>
          <t>E I S</t>
        </is>
      </c>
      <c r="E9" s="15" t="inlineStr">
        <is>
          <t>ЛР 5</t>
        </is>
      </c>
    </row>
    <row r="10">
      <c r="A10" s="15" t="inlineStr">
        <is>
          <t>L6</t>
        </is>
      </c>
      <c r="B10" s="15" t="inlineStr">
        <is>
          <t>ЛР6. DMZ для вебсайту й ДБО</t>
        </is>
      </c>
      <c r="C10" s="15" t="inlineStr">
        <is>
          <t>Лабораторна</t>
        </is>
      </c>
      <c r="D10" s="15" t="inlineStr">
        <is>
          <t>E I</t>
        </is>
      </c>
      <c r="E10" s="15" t="inlineStr">
        <is>
          <t>ЛР 6</t>
        </is>
      </c>
    </row>
    <row r="11">
      <c r="A11" s="15" t="inlineStr">
        <is>
          <t>L7</t>
        </is>
      </c>
      <c r="B11" s="15" t="inlineStr">
        <is>
          <t>ЛР7. IPsec VPN між відділенням і головним офісом</t>
        </is>
      </c>
      <c r="C11" s="15" t="inlineStr">
        <is>
          <t>Лабораторна</t>
        </is>
      </c>
      <c r="D11" s="15" t="inlineStr">
        <is>
          <t>S T I</t>
        </is>
      </c>
      <c r="E11" s="15" t="inlineStr">
        <is>
          <t>ЛР 7</t>
        </is>
      </c>
    </row>
    <row r="12">
      <c r="A12" s="15" t="inlineStr">
        <is>
          <t>L8</t>
        </is>
      </c>
      <c r="B12" s="15" t="inlineStr">
        <is>
          <t>ЛР8. Окремий VLAN для пристроїв і захищена Wi-Fi (WPA2)</t>
        </is>
      </c>
      <c r="C12" s="15" t="inlineStr">
        <is>
          <t>Лабораторна</t>
        </is>
      </c>
      <c r="D12" s="15" t="inlineStr">
        <is>
          <t>S E I</t>
        </is>
      </c>
      <c r="E12" s="15" t="inlineStr">
        <is>
          <t>ЛР 8</t>
        </is>
      </c>
    </row>
    <row r="13">
      <c r="A13" s="15" t="inlineStr">
        <is>
          <t>L9</t>
        </is>
      </c>
      <c r="B13" s="15" t="inlineStr">
        <is>
          <t>ЛР9. SSH, AAA і RADIUS, ролі адміністраторів</t>
        </is>
      </c>
      <c r="C13" s="15" t="inlineStr">
        <is>
          <t>Лабораторна</t>
        </is>
      </c>
      <c r="D13" s="15" t="inlineStr">
        <is>
          <t>S E R</t>
        </is>
      </c>
      <c r="E13" s="15" t="inlineStr">
        <is>
          <t>ЛР 9</t>
        </is>
      </c>
    </row>
    <row r="14">
      <c r="A14" s="15" t="inlineStr">
        <is>
          <t>L10</t>
        </is>
      </c>
      <c r="B14" s="15" t="inlineStr">
        <is>
          <t>ЛР10. Syslog, NTP і моніторинг (лише виявляє)</t>
        </is>
      </c>
      <c r="C14" s="15" t="inlineStr">
        <is>
          <t>Лабораторна</t>
        </is>
      </c>
      <c r="D14" s="15" t="inlineStr">
        <is>
          <t>R D</t>
        </is>
      </c>
      <c r="E14" s="15" t="inlineStr">
        <is>
          <t>ЛР 10</t>
        </is>
      </c>
    </row>
    <row r="15">
      <c r="A15" s="15" t="inlineStr">
        <is>
          <t>O1</t>
        </is>
      </c>
      <c r="B15" s="15" t="inlineStr">
        <is>
          <t>Поза курсом: навчання й інструктаж персоналу</t>
        </is>
      </c>
      <c r="C15" s="15" t="inlineStr">
        <is>
          <t>Поза курсом</t>
        </is>
      </c>
      <c r="D15" s="15" t="n"/>
      <c r="E15" s="15" t="inlineStr">
        <is>
          <t>—</t>
        </is>
      </c>
    </row>
    <row r="16">
      <c r="A16" s="15" t="inlineStr">
        <is>
          <t>O2</t>
        </is>
      </c>
      <c r="B16" s="15" t="inlineStr">
        <is>
          <t>Поза курсом: договір, регламент, журнал відвідувань підрядника</t>
        </is>
      </c>
      <c r="C16" s="15" t="inlineStr">
        <is>
          <t>Поза курсом</t>
        </is>
      </c>
      <c r="D16" s="15" t="n"/>
      <c r="E16" s="15" t="inlineStr">
        <is>
          <t>—</t>
        </is>
      </c>
    </row>
    <row r="17">
      <c r="A17" s="15" t="inlineStr">
        <is>
          <t>O3</t>
        </is>
      </c>
      <c r="B17" s="15" t="inlineStr">
        <is>
          <t>Поза курсом: антискімінгові накладки, пломби, замки, огляд пристрою</t>
        </is>
      </c>
      <c r="C17" s="15" t="inlineStr">
        <is>
          <t>Поза курсом</t>
        </is>
      </c>
      <c r="D17" s="15" t="n"/>
      <c r="E17" s="15" t="inlineStr">
        <is>
          <t>—</t>
        </is>
      </c>
    </row>
    <row r="18">
      <c r="A18" s="15" t="inlineStr">
        <is>
          <t>O4</t>
        </is>
      </c>
      <c r="B18" s="15" t="inlineStr">
        <is>
          <t>Поза курсом: резервний канал і угода про рівень обслуговування</t>
        </is>
      </c>
      <c r="C18" s="15" t="inlineStr">
        <is>
          <t>Поза курсом</t>
        </is>
      </c>
      <c r="D18" s="15" t="n"/>
      <c r="E18" s="15" t="inlineStr">
        <is>
          <t>—</t>
        </is>
      </c>
    </row>
    <row r="19">
      <c r="A19" s="15" t="inlineStr">
        <is>
          <t>O5</t>
        </is>
      </c>
      <c r="B19" s="15" t="inlineStr">
        <is>
          <t>Поза курсом: подвійний контроль і звірка інкасації</t>
        </is>
      </c>
      <c r="C19" s="15" t="inlineStr">
        <is>
          <t>Поза курсом</t>
        </is>
      </c>
      <c r="D19" s="15" t="n"/>
      <c r="E19" s="15" t="inlineStr">
        <is>
          <t>—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7D7B"/>
    <outlinePr summaryBelow="1" summaryRight="1"/>
    <pageSetUpPr/>
  </sheetPr>
  <dimension ref="A1:G17"/>
  <sheetViews>
    <sheetView tabSelected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64" customWidth="1" min="4" max="4"/>
    <col width="14" customWidth="1" min="5" max="5"/>
    <col width="12" customWidth="1" min="6" max="6"/>
    <col width="52" customWidth="1" min="7" max="7"/>
  </cols>
  <sheetData>
    <row r="1">
      <c r="A1" s="5" t="inlineStr">
        <is>
          <t>Чернетка таблиці загроз від колеги</t>
        </is>
      </c>
    </row>
    <row r="2">
      <c r="A2" s="6" t="inlineStr">
        <is>
          <t>У ній три помилки. Знайдіть їх, запишіть у журнал і не переносьте у свою таблицю без виправлення.</t>
        </is>
      </c>
    </row>
    <row r="4" ht="44" customHeight="1">
      <c r="A4" s="16" t="inlineStr">
        <is>
          <t>№</t>
        </is>
      </c>
      <c r="B4" s="16" t="inlineStr">
        <is>
          <t>Межа</t>
        </is>
      </c>
      <c r="C4" s="16" t="inlineStr">
        <is>
          <t>STRIDE</t>
        </is>
      </c>
      <c r="D4" s="16" t="inlineStr">
        <is>
          <t>Загроза</t>
        </is>
      </c>
      <c r="E4" s="16" t="inlineStr">
        <is>
          <t>Природа</t>
        </is>
      </c>
      <c r="F4" s="16" t="inlineStr">
        <is>
          <t>Серйозність</t>
        </is>
      </c>
      <c r="G4" s="16" t="inlineStr">
        <is>
          <t>Захід</t>
        </is>
      </c>
    </row>
    <row r="5">
      <c r="A5" s="15" t="n">
        <v>1</v>
      </c>
      <c r="B5" s="15" t="inlineStr">
        <is>
          <t>M4</t>
        </is>
      </c>
      <c r="C5" s="15" t="inlineStr">
        <is>
          <t>T — зміна даних</t>
        </is>
      </c>
      <c r="D5" s="15" t="inlineStr">
        <is>
          <t>Перехоплення платіжного трафіку в каналі: зловмисник читає передані дані</t>
        </is>
      </c>
      <c r="E5" s="15" t="inlineStr">
        <is>
          <t>мережева</t>
        </is>
      </c>
      <c r="F5" s="15" t="n">
        <v>3</v>
      </c>
      <c r="G5" s="15" t="inlineStr">
        <is>
          <t>ЛР7. IPsec VPN між відділенням і головним офісом</t>
        </is>
      </c>
    </row>
    <row r="6">
      <c r="A6" s="15" t="n">
        <v>2</v>
      </c>
      <c r="B6" s="15" t="inlineStr">
        <is>
          <t>M1</t>
        </is>
      </c>
      <c r="C6" s="15" t="inlineStr">
        <is>
          <t>T — зміна даних</t>
        </is>
      </c>
      <c r="D6" s="15" t="inlineStr">
        <is>
          <t>Скімер на POS-термінала на касі: копіює дані картки</t>
        </is>
      </c>
      <c r="E6" s="15" t="inlineStr">
        <is>
          <t>фізична</t>
        </is>
      </c>
      <c r="F6" s="15" t="n">
        <v>3</v>
      </c>
      <c r="G6" s="15" t="inlineStr">
        <is>
          <t>ЛР1. Сегментація VLAN і маршрутизація між ними</t>
        </is>
      </c>
    </row>
    <row r="7">
      <c r="A7" s="15" t="n">
        <v>3</v>
      </c>
      <c r="B7" s="15" t="inlineStr">
        <is>
          <t>M5</t>
        </is>
      </c>
      <c r="C7" s="15" t="inlineStr">
        <is>
          <t>R — відмова від дій</t>
        </is>
      </c>
      <c r="D7" s="15" t="inlineStr">
        <is>
          <t>Шлюз не зберігає журнал: після шахрайства неможливо відновити послідовність подій</t>
        </is>
      </c>
      <c r="E7" s="15" t="inlineStr">
        <is>
          <t>мережева</t>
        </is>
      </c>
      <c r="F7" s="15" t="n">
        <v>2</v>
      </c>
      <c r="G7" s="15" t="inlineStr">
        <is>
          <t>ЛР10. Syslog, NTP і моніторинг (лише виявляє)</t>
        </is>
      </c>
    </row>
    <row r="8">
      <c r="A8" s="15" t="n">
        <v>4</v>
      </c>
      <c r="B8" s="15" t="inlineStr">
        <is>
          <t>M1</t>
        </is>
      </c>
      <c r="C8" s="15" t="inlineStr">
        <is>
          <t>R — відмова від дій</t>
        </is>
      </c>
      <c r="D8" s="15" t="inlineStr">
        <is>
          <t>Клієнт заперечує операцію, а повного журналу з точним часом немає</t>
        </is>
      </c>
      <c r="E8" s="15" t="inlineStr">
        <is>
          <t>організаційна</t>
        </is>
      </c>
      <c r="F8" s="15" t="n">
        <v>2</v>
      </c>
      <c r="G8" s="15" t="inlineStr">
        <is>
          <t>ЛР10. Syslog, NTP і моніторинг (лише виявляє)</t>
        </is>
      </c>
    </row>
    <row r="9">
      <c r="A9" s="15" t="n">
        <v>5</v>
      </c>
      <c r="B9" s="15" t="inlineStr">
        <is>
          <t>M2</t>
        </is>
      </c>
      <c r="C9" s="15" t="inlineStr">
        <is>
          <t>S — підміна</t>
        </is>
      </c>
      <c r="D9" s="15" t="inlineStr">
        <is>
          <t>Чужий пристрій підключається до Wi-Fi відділення й видає себе за термінал</t>
        </is>
      </c>
      <c r="E9" s="15" t="inlineStr">
        <is>
          <t>мережева</t>
        </is>
      </c>
      <c r="F9" s="15" t="n">
        <v>3</v>
      </c>
      <c r="G9" s="15" t="inlineStr">
        <is>
          <t>ЛР8. Окремий VLAN для пристроїв і захищена Wi-Fi (WPA2)</t>
        </is>
      </c>
    </row>
    <row r="10">
      <c r="A10" s="15" t="n">
        <v>6</v>
      </c>
      <c r="B10" s="15" t="inlineStr">
        <is>
          <t>M3</t>
        </is>
      </c>
      <c r="C10" s="15" t="inlineStr">
        <is>
          <t>T — зміна даних</t>
        </is>
      </c>
      <c r="D10" s="15" t="inlineStr">
        <is>
          <t>Встановити IPsec VPN і міжмережевий екран між відділенням і шлюзом</t>
        </is>
      </c>
      <c r="E10" s="15" t="inlineStr">
        <is>
          <t>мережева</t>
        </is>
      </c>
      <c r="F10" s="15" t="n">
        <v>3</v>
      </c>
      <c r="G10" s="15" t="inlineStr">
        <is>
          <t>ЛР7. IPsec VPN між відділенням і головним офісом</t>
        </is>
      </c>
    </row>
    <row r="11">
      <c r="A11" s="15" t="n">
        <v>7</v>
      </c>
      <c r="B11" s="15" t="inlineStr">
        <is>
          <t>M5</t>
        </is>
      </c>
      <c r="C11" s="15" t="inlineStr">
        <is>
          <t>S — підміна</t>
        </is>
      </c>
      <c r="D11" s="15" t="inlineStr">
        <is>
          <t>Підроблений запит до АБС від зламаного шлюзу чи від ПК відділення</t>
        </is>
      </c>
      <c r="E11" s="15" t="inlineStr">
        <is>
          <t>мережева</t>
        </is>
      </c>
      <c r="F11" s="15" t="n">
        <v>3</v>
      </c>
      <c r="G11" s="15" t="inlineStr">
        <is>
          <t>ЛР5. Міжмережевий екран ASA: зони й NAT</t>
        </is>
      </c>
    </row>
    <row r="13">
      <c r="A13" s="13" t="inlineStr">
        <is>
          <t>Журнал виправлень</t>
        </is>
      </c>
    </row>
    <row r="14" ht="44" customHeight="1">
      <c r="A14" s="16" t="inlineStr">
        <is>
          <t>Рядок</t>
        </is>
      </c>
      <c r="B14" s="16" t="inlineStr">
        <is>
          <t>Тип помилки</t>
        </is>
      </c>
      <c r="C14" s="16" t="inlineStr">
        <is>
          <t>Що не так і як виправити</t>
        </is>
      </c>
      <c r="D14" s="17" t="n"/>
      <c r="E14" s="17" t="n"/>
      <c r="F14" s="17" t="n"/>
      <c r="G14" s="18" t="n"/>
    </row>
    <row r="15">
      <c r="A15" s="11" t="inlineStr">
        <is>
          <t>1</t>
        </is>
      </c>
      <c r="B15" s="11" t="inlineStr">
        <is>
          <t>Літера STRIDE не відповідає описові</t>
        </is>
      </c>
      <c r="C15" s="11" t="inlineStr">
        <is>
          <t>«Зловмисник читає передані дані» — це витік (I), а не зміна даних (T). Виправлено на I; захід IPsec VPN (L7) закриває I, тож він лишається.</t>
        </is>
      </c>
      <c r="D15" s="19" t="n"/>
      <c r="E15" s="19" t="n"/>
      <c r="F15" s="19" t="n"/>
      <c r="G15" s="20" t="n"/>
    </row>
    <row r="16">
      <c r="A16" s="11" t="inlineStr">
        <is>
          <t>2</t>
        </is>
      </c>
      <c r="B16" s="11" t="inlineStr">
        <is>
          <t>Мережевий захід для фізичної загрози</t>
        </is>
      </c>
      <c r="C16" s="11" t="inlineStr">
        <is>
          <t>Скімер на POS — фізична загроза, VLAN (L1) її не закриває. Правильно: «Поза курсом: антискімінгові накладки, пломби, огляд пристрою»; до того ж копіювання картки — це I, а не T.</t>
        </is>
      </c>
      <c r="D16" s="19" t="n"/>
      <c r="E16" s="19" t="n"/>
      <c r="F16" s="19" t="n"/>
      <c r="G16" s="20" t="n"/>
    </row>
    <row r="17">
      <c r="A17" s="11" t="inlineStr">
        <is>
          <t>6</t>
        </is>
      </c>
      <c r="B17" s="11" t="inlineStr">
        <is>
          <t>Загроза записана як захід</t>
        </is>
      </c>
      <c r="C17" s="11" t="inlineStr">
        <is>
          <t>«Встановити IPsec VPN і міжмережевий екран» — це захід, а не загроза. Треба: хто, що робить, що втрачаємо (напр., підміна запиту до шлюзу зламаним ПК).</t>
        </is>
      </c>
      <c r="D17" s="19" t="n"/>
      <c r="E17" s="19" t="n"/>
      <c r="F17" s="19" t="n"/>
      <c r="G17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C16:G16"/>
    <mergeCell ref="C15:G15"/>
    <mergeCell ref="C17:G17"/>
    <mergeCell ref="C14:G14"/>
  </mergeCells>
  <dataValidations count="1">
    <dataValidation sqref="B15:B17" showDropDown="0" showInputMessage="0" showErrorMessage="0" allowBlank="1" type="list">
      <formula1>"Загроза записана як захід,Літера STRIDE не відповідає описові,Мережевий захід для фізичної загрози,Дубль,Межа вказана неправильно,Інша"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7D7B"/>
    <outlinePr summaryBelow="1" summaryRight="1"/>
    <pageSetUpPr/>
  </sheetPr>
  <dimension ref="A1:O34"/>
  <sheetViews>
    <sheetView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2" customWidth="1" min="4" max="4"/>
    <col width="56" customWidth="1" min="5" max="5"/>
    <col width="13" customWidth="1" min="6" max="6"/>
    <col width="10" customWidth="1" min="7" max="7"/>
    <col width="22" customWidth="1" min="8" max="8"/>
    <col width="7" customWidth="1" min="9" max="9"/>
    <col width="44" customWidth="1" min="10" max="10"/>
    <col width="40" customWidth="1" min="11" max="11"/>
    <col width="34" customWidth="1" min="12" max="12"/>
    <col width="12" customWidth="1" min="13" max="13"/>
    <col width="14" customWidth="1" min="14" max="14"/>
    <col width="8" customWidth="1" min="15" max="15"/>
  </cols>
  <sheetData>
    <row r="1">
      <c r="A1" s="5" t="inlineStr">
        <is>
          <t>Загрози за STRIDE і заходи (питання 2 і 3)</t>
        </is>
      </c>
    </row>
    <row r="2">
      <c r="A2" s="6" t="inlineStr">
        <is>
          <t>Один рядок: межа + літера STRIDE + загроза. Топ-8: для кожної обов'язково захід і де в мережі.</t>
        </is>
      </c>
    </row>
    <row r="4" ht="44" customHeight="1">
      <c r="A4" s="16" t="inlineStr">
        <is>
          <t>№</t>
        </is>
      </c>
      <c r="B4" s="16" t="inlineStr">
        <is>
          <t>Межа довіри</t>
        </is>
      </c>
      <c r="C4" s="16" t="inlineStr">
        <is>
          <t>Що передається чи що під загрозою</t>
        </is>
      </c>
      <c r="D4" s="16" t="inlineStr">
        <is>
          <t>STRIDE</t>
        </is>
      </c>
      <c r="E4" s="16" t="inlineStr">
        <is>
          <t>Загроза: хто, що робить, що втрачаємо</t>
        </is>
      </c>
      <c r="F4" s="16" t="inlineStr">
        <is>
          <t>Природа</t>
        </is>
      </c>
      <c r="G4" s="16" t="inlineStr">
        <is>
          <t>Серйозність 1–3</t>
        </is>
      </c>
      <c r="H4" s="16" t="inlineStr">
        <is>
          <t>Категорія ризику з ПР 1</t>
        </is>
      </c>
      <c r="I4" s="16" t="inlineStr">
        <is>
          <t>Топ-8</t>
        </is>
      </c>
      <c r="J4" s="16" t="inlineStr">
        <is>
          <t>Захід (з Каталогу)</t>
        </is>
      </c>
      <c r="K4" s="16" t="inlineStr">
        <is>
          <t>Де в мережі: пристрій, зона, що налаштувати</t>
        </is>
      </c>
      <c r="L4" s="16" t="inlineStr">
        <is>
          <t>Перевірка</t>
        </is>
      </c>
      <c r="M4" s="16" t="inlineStr">
        <is>
          <t>Лабораторна</t>
        </is>
      </c>
      <c r="N4" s="16" t="inlineStr">
        <is>
          <t>Тип заходу</t>
        </is>
      </c>
      <c r="O4" s="16" t="inlineStr">
        <is>
          <t>Примітка</t>
        </is>
      </c>
    </row>
    <row r="5">
      <c r="A5" s="15" t="n">
        <v>1</v>
      </c>
      <c r="B5" s="11" t="inlineStr">
        <is>
          <t>M1. Клієнт і картка ↔ POS-термінал на касі (зчитувач картки, ПІН-клавіатура)</t>
        </is>
      </c>
      <c r="C5" s="11" t="inlineStr">
        <is>
          <t>дані картки й ПІН</t>
        </is>
      </c>
      <c r="D5" s="21" t="inlineStr">
        <is>
          <t>I — витік</t>
        </is>
      </c>
      <c r="E5" s="11" t="inlineStr">
        <is>
          <t>Шахрай ставить шимер/накладку на ПІН-клавіатуру POS на касі й копіює картки та ПІН — клієнти втрачають гроші</t>
        </is>
      </c>
      <c r="F5" s="21" t="inlineStr">
        <is>
          <t>фізична</t>
        </is>
      </c>
      <c r="G5" s="21" t="n">
        <v>3</v>
      </c>
      <c r="H5" s="11" t="inlineStr">
        <is>
          <t>Шахрайство з картками</t>
        </is>
      </c>
      <c r="I5" s="21" t="inlineStr">
        <is>
          <t>Так</t>
        </is>
      </c>
      <c r="J5" s="11" t="inlineStr">
        <is>
          <t>Поза курсом: антискімінгові накладки, пломби, замки, огляд пристрою</t>
        </is>
      </c>
      <c r="K5" s="11" t="inlineStr">
        <is>
          <t>POS на касі: пломби на корпусі, огляд касиром на початку зміни, термінал закріплений на стійці</t>
        </is>
      </c>
      <c r="L5" s="15">
        <f>IF(I5&lt;&gt;"Так","",IF(J5="","Оберіть захід",IF(K5="","Вкажіть, де в мережі",IF(D5="","Оберіть літеру STRIDE",IF(F5="","Вкажіть природу",IF(AND(INDEX('В08 Каталог'!$C$5:$C$19,MATCH(J5,'В08 Каталог'!$B$5:$B$19,0))="Лабораторна",F5="фізична",INDEX('В08 Каталог'!$A$5:$A$19,MATCH(J5,'В08 Каталог'!$B$5:$B$19,0))&lt;&gt;"L10"),"Мережевий захід не закриває фізичну загрозу",IF(AND(INDEX('В08 Каталог'!$C$5:$C$19,MATCH(J5,'В08 Каталог'!$B$5:$B$19,0))="Лабораторна",ISERROR(SEARCH(LEFT(D5,1),INDEX('В08 Каталог'!$D$5:$D$19,MATCH(J5,'В08 Каталог'!$B$5:$B$19,0))))),"Захід не діє на цей тип загрози",IF(AND(INDEX('В08 Каталог'!$C$5:$C$19,MATCH(J5,'В08 Каталог'!$B$5:$B$19,0))="Поза курсом",F5="мережева"),"Для мережевої загрози потрібен захід з лабораторних","ОК"))))))))</f>
        <v/>
      </c>
      <c r="M5" s="22">
        <f>IF(J5="","",IFERROR(INDEX('В08 Каталог'!$E$5:$E$19,MATCH(J5,'В08 Каталог'!$B$5:$B$19,0)),""))</f>
        <v/>
      </c>
      <c r="N5" s="22">
        <f>IF(J5="","",IFERROR(INDEX('В08 Каталог'!$C$5:$C$19,MATCH(J5,'В08 Каталог'!$B$5:$B$19,0)),""))</f>
        <v/>
      </c>
      <c r="O5" s="21" t="n"/>
    </row>
    <row r="6">
      <c r="A6" s="15" t="n">
        <v>2</v>
      </c>
      <c r="B6" s="11" t="inlineStr">
        <is>
          <t>M1. Клієнт і картка ↔ POS-термінал на касі (зчитувач картки, ПІН-клавіатура)</t>
        </is>
      </c>
      <c r="C6" s="11" t="inlineStr">
        <is>
          <t>операція за карткою</t>
        </is>
      </c>
      <c r="D6" s="21" t="inlineStr">
        <is>
          <t>R — відмова від дій</t>
        </is>
      </c>
      <c r="E6" s="11" t="inlineStr">
        <is>
          <t>Клієнт заперечує операцію, а журналу з точним часом немає — банк не доведе, що операцію проведено</t>
        </is>
      </c>
      <c r="F6" s="21" t="inlineStr">
        <is>
          <t>організаційна</t>
        </is>
      </c>
      <c r="G6" s="21" t="n">
        <v>2</v>
      </c>
      <c r="H6" s="11" t="inlineStr">
        <is>
          <t>Персонал і процеси</t>
        </is>
      </c>
      <c r="I6" s="21" t="n"/>
      <c r="J6" s="11" t="inlineStr">
        <is>
          <t>ЛР10. Syslog, NTP і моніторинг (лише виявляє)</t>
        </is>
      </c>
      <c r="K6" s="11" t="inlineStr">
        <is>
          <t>Syslog-сервер у зоні керування, NTP на маршрутизаторі й терміналах</t>
        </is>
      </c>
      <c r="L6" s="15">
        <f>IF(I6&lt;&gt;"Так","",IF(J6="","Оберіть захід",IF(K6="","Вкажіть, де в мережі",IF(D6="","Оберіть літеру STRIDE",IF(F6="","Вкажіть природу",IF(AND(INDEX('В08 Каталог'!$C$5:$C$19,MATCH(J6,'В08 Каталог'!$B$5:$B$19,0))="Лабораторна",F6="фізична",INDEX('В08 Каталог'!$A$5:$A$19,MATCH(J6,'В08 Каталог'!$B$5:$B$19,0))&lt;&gt;"L10"),"Мережевий захід не закриває фізичну загрозу",IF(AND(INDEX('В08 Каталог'!$C$5:$C$19,MATCH(J6,'В08 Каталог'!$B$5:$B$19,0))="Лабораторна",ISERROR(SEARCH(LEFT(D6,1),INDEX('В08 Каталог'!$D$5:$D$19,MATCH(J6,'В08 Каталог'!$B$5:$B$19,0))))),"Захід не діє на цей тип загрози",IF(AND(INDEX('В08 Каталог'!$C$5:$C$19,MATCH(J6,'В08 Каталог'!$B$5:$B$19,0))="Поза курсом",F6="мережева"),"Для мережевої загрози потрібен захід з лабораторних","ОК"))))))))</f>
        <v/>
      </c>
      <c r="M6" s="22">
        <f>IF(J6="","",IFERROR(INDEX('В08 Каталог'!$E$5:$E$19,MATCH(J6,'В08 Каталог'!$B$5:$B$19,0)),""))</f>
        <v/>
      </c>
      <c r="N6" s="22">
        <f>IF(J6="","",IFERROR(INDEX('В08 Каталог'!$C$5:$C$19,MATCH(J6,'В08 Каталог'!$B$5:$B$19,0)),""))</f>
        <v/>
      </c>
      <c r="O6" s="21" t="n"/>
    </row>
    <row r="7">
      <c r="A7" s="15" t="n">
        <v>3</v>
      </c>
      <c r="B7" s="11" t="inlineStr">
        <is>
          <t>M2. POS-термінал ↔ Wi-Fi відділення (радіоефір доступний будь-кому поблизу)</t>
        </is>
      </c>
      <c r="C7" s="11" t="inlineStr">
        <is>
          <t>платіжне повідомлення POS</t>
        </is>
      </c>
      <c r="D7" s="21" t="inlineStr">
        <is>
          <t>S — підміна</t>
        </is>
      </c>
      <c r="E7" s="11" t="inlineStr">
        <is>
          <t>Сторонній пристрій підключається до Wi-Fi за спільним паролем і видає себе за POS-термінал</t>
        </is>
      </c>
      <c r="F7" s="21" t="inlineStr">
        <is>
          <t>мережева</t>
        </is>
      </c>
      <c r="G7" s="21" t="n">
        <v>3</v>
      </c>
      <c r="H7" s="11" t="inlineStr">
        <is>
          <t>Мережа/ІТ</t>
        </is>
      </c>
      <c r="I7" s="21" t="inlineStr">
        <is>
          <t>Так</t>
        </is>
      </c>
      <c r="J7" s="11" t="inlineStr">
        <is>
          <t>ЛР8. Окремий VLAN для пристроїв і захищена Wi-Fi (WPA2)</t>
        </is>
      </c>
      <c r="K7" s="11" t="inlineStr">
        <is>
          <t>Точки доступу: окремий SSID і VLAN для POS з WPA2-Enterprise (вхід за сертифікатом), гості — окремо</t>
        </is>
      </c>
      <c r="L7" s="15">
        <f>IF(I7&lt;&gt;"Так","",IF(J7="","Оберіть захід",IF(K7="","Вкажіть, де в мережі",IF(D7="","Оберіть літеру STRIDE",IF(F7="","Вкажіть природу",IF(AND(INDEX('В08 Каталог'!$C$5:$C$19,MATCH(J7,'В08 Каталог'!$B$5:$B$19,0))="Лабораторна",F7="фізична",INDEX('В08 Каталог'!$A$5:$A$19,MATCH(J7,'В08 Каталог'!$B$5:$B$19,0))&lt;&gt;"L10"),"Мережевий захід не закриває фізичну загрозу",IF(AND(INDEX('В08 Каталог'!$C$5:$C$19,MATCH(J7,'В08 Каталог'!$B$5:$B$19,0))="Лабораторна",ISERROR(SEARCH(LEFT(D7,1),INDEX('В08 Каталог'!$D$5:$D$19,MATCH(J7,'В08 Каталог'!$B$5:$B$19,0))))),"Захід не діє на цей тип загрози",IF(AND(INDEX('В08 Каталог'!$C$5:$C$19,MATCH(J7,'В08 Каталог'!$B$5:$B$19,0))="Поза курсом",F7="мережева"),"Для мережевої загрози потрібен захід з лабораторних","ОК"))))))))</f>
        <v/>
      </c>
      <c r="M7" s="22">
        <f>IF(J7="","",IFERROR(INDEX('В08 Каталог'!$E$5:$E$19,MATCH(J7,'В08 Каталог'!$B$5:$B$19,0)),""))</f>
        <v/>
      </c>
      <c r="N7" s="22">
        <f>IF(J7="","",IFERROR(INDEX('В08 Каталог'!$C$5:$C$19,MATCH(J7,'В08 Каталог'!$B$5:$B$19,0)),""))</f>
        <v/>
      </c>
      <c r="O7" s="21" t="n"/>
    </row>
    <row r="8">
      <c r="A8" s="15" t="n">
        <v>4</v>
      </c>
      <c r="B8" s="11" t="inlineStr">
        <is>
          <t>M2. POS-термінал ↔ Wi-Fi відділення (радіоефір доступний будь-кому поблизу)</t>
        </is>
      </c>
      <c r="C8" s="11" t="inlineStr">
        <is>
          <t>платіжне повідомлення POS</t>
        </is>
      </c>
      <c r="D8" s="21" t="inlineStr">
        <is>
          <t>I — витік</t>
        </is>
      </c>
      <c r="E8" s="11" t="inlineStr">
        <is>
          <t>Зловмисник у залі перехоплює радіотрафік POS (WPA2-PSK, ключ знають і інші) і читає дані транзакцій</t>
        </is>
      </c>
      <c r="F8" s="21" t="inlineStr">
        <is>
          <t>мережева</t>
        </is>
      </c>
      <c r="G8" s="21" t="n">
        <v>3</v>
      </c>
      <c r="H8" s="11" t="inlineStr">
        <is>
          <t>Мережа/ІТ</t>
        </is>
      </c>
      <c r="I8" s="21" t="inlineStr">
        <is>
          <t>Так</t>
        </is>
      </c>
      <c r="J8" s="11" t="inlineStr">
        <is>
          <t>ЛР8. Окремий VLAN для пристроїв і захищена Wi-Fi (WPA2)</t>
        </is>
      </c>
      <c r="K8" s="11" t="inlineStr">
        <is>
          <t>Точки доступу: WPA2-Enterprise для VLAN POS, окремий ключ на кожен пристрій</t>
        </is>
      </c>
      <c r="L8" s="15">
        <f>IF(I8&lt;&gt;"Так","",IF(J8="","Оберіть захід",IF(K8="","Вкажіть, де в мережі",IF(D8="","Оберіть літеру STRIDE",IF(F8="","Вкажіть природу",IF(AND(INDEX('В08 Каталог'!$C$5:$C$19,MATCH(J8,'В08 Каталог'!$B$5:$B$19,0))="Лабораторна",F8="фізична",INDEX('В08 Каталог'!$A$5:$A$19,MATCH(J8,'В08 Каталог'!$B$5:$B$19,0))&lt;&gt;"L10"),"Мережевий захід не закриває фізичну загрозу",IF(AND(INDEX('В08 Каталог'!$C$5:$C$19,MATCH(J8,'В08 Каталог'!$B$5:$B$19,0))="Лабораторна",ISERROR(SEARCH(LEFT(D8,1),INDEX('В08 Каталог'!$D$5:$D$19,MATCH(J8,'В08 Каталог'!$B$5:$B$19,0))))),"Захід не діє на цей тип загрози",IF(AND(INDEX('В08 Каталог'!$C$5:$C$19,MATCH(J8,'В08 Каталог'!$B$5:$B$19,0))="Поза курсом",F8="мережева"),"Для мережевої загрози потрібен захід з лабораторних","ОК"))))))))</f>
        <v/>
      </c>
      <c r="M8" s="22">
        <f>IF(J8="","",IFERROR(INDEX('В08 Каталог'!$E$5:$E$19,MATCH(J8,'В08 Каталог'!$B$5:$B$19,0)),""))</f>
        <v/>
      </c>
      <c r="N8" s="22">
        <f>IF(J8="","",IFERROR(INDEX('В08 Каталог'!$C$5:$C$19,MATCH(J8,'В08 Каталог'!$B$5:$B$19,0)),""))</f>
        <v/>
      </c>
      <c r="O8" s="21" t="n"/>
    </row>
    <row r="9">
      <c r="A9" s="15" t="n">
        <v>5</v>
      </c>
      <c r="B9" s="11" t="inlineStr">
        <is>
          <t>M2. POS-термінал ↔ Wi-Fi відділення (радіоефір доступний будь-кому поблизу)</t>
        </is>
      </c>
      <c r="C9" s="11" t="inlineStr">
        <is>
          <t>зв'язок POS із мережею</t>
        </is>
      </c>
      <c r="D9" s="21" t="inlineStr">
        <is>
          <t>D — відмова в обслуговуванні</t>
        </is>
      </c>
      <c r="E9" s="11" t="inlineStr">
        <is>
          <t>Глушіння або деавтентифікація Wi-Fi — POS на касі перестає приймати картки</t>
        </is>
      </c>
      <c r="F9" s="21" t="inlineStr">
        <is>
          <t>фізична</t>
        </is>
      </c>
      <c r="G9" s="21" t="n">
        <v>2</v>
      </c>
      <c r="H9" s="11" t="inlineStr">
        <is>
          <t>Живлення і зв'язок</t>
        </is>
      </c>
      <c r="I9" s="21" t="n"/>
      <c r="J9" s="11" t="inlineStr">
        <is>
          <t>Поза курсом: резервний канал і угода про рівень обслуговування</t>
        </is>
      </c>
      <c r="K9" s="11" t="inlineStr">
        <is>
          <t>Каса: резервне дротове підключення POS до комутатора на випадок збою Wi-Fi</t>
        </is>
      </c>
      <c r="L9" s="15">
        <f>IF(I9&lt;&gt;"Так","",IF(J9="","Оберіть захід",IF(K9="","Вкажіть, де в мережі",IF(D9="","Оберіть літеру STRIDE",IF(F9="","Вкажіть природу",IF(AND(INDEX('В08 Каталог'!$C$5:$C$19,MATCH(J9,'В08 Каталог'!$B$5:$B$19,0))="Лабораторна",F9="фізична",INDEX('В08 Каталог'!$A$5:$A$19,MATCH(J9,'В08 Каталог'!$B$5:$B$19,0))&lt;&gt;"L10"),"Мережевий захід не закриває фізичну загрозу",IF(AND(INDEX('В08 Каталог'!$C$5:$C$19,MATCH(J9,'В08 Каталог'!$B$5:$B$19,0))="Лабораторна",ISERROR(SEARCH(LEFT(D9,1),INDEX('В08 Каталог'!$D$5:$D$19,MATCH(J9,'В08 Каталог'!$B$5:$B$19,0))))),"Захід не діє на цей тип загрози",IF(AND(INDEX('В08 Каталог'!$C$5:$C$19,MATCH(J9,'В08 Каталог'!$B$5:$B$19,0))="Поза курсом",F9="мережева"),"Для мережевої загрози потрібен захід з лабораторних","ОК"))))))))</f>
        <v/>
      </c>
      <c r="M9" s="22">
        <f>IF(J9="","",IFERROR(INDEX('В08 Каталог'!$E$5:$E$19,MATCH(J9,'В08 Каталог'!$B$5:$B$19,0)),""))</f>
        <v/>
      </c>
      <c r="N9" s="22">
        <f>IF(J9="","",IFERROR(INDEX('В08 Каталог'!$C$5:$C$19,MATCH(J9,'В08 Каталог'!$B$5:$B$19,0)),""))</f>
        <v/>
      </c>
      <c r="O9" s="21" t="n"/>
    </row>
    <row r="10">
      <c r="A10" s="15" t="n">
        <v>6</v>
      </c>
      <c r="B10" s="11" t="inlineStr">
        <is>
          <t>M3. Точки доступу Wi-Fi ↔ дротова мережа відділення (комутатори, каси, АБС)</t>
        </is>
      </c>
      <c r="C10" s="11" t="inlineStr">
        <is>
          <t>доступ до дротової мережі</t>
        </is>
      </c>
      <c r="D10" s="21" t="inlineStr">
        <is>
          <t>E — підвищення прав</t>
        </is>
      </c>
      <c r="E10" s="11" t="inlineStr">
        <is>
          <t>Гість або сторонній пристрій із Wi-Fi потрапляє в плоску мережу й отримує доступ до кас і терміналів АБС</t>
        </is>
      </c>
      <c r="F10" s="21" t="inlineStr">
        <is>
          <t>мережева</t>
        </is>
      </c>
      <c r="G10" s="21" t="n">
        <v>3</v>
      </c>
      <c r="H10" s="11" t="inlineStr">
        <is>
          <t>Мережа/ІТ</t>
        </is>
      </c>
      <c r="I10" s="21" t="inlineStr">
        <is>
          <t>Так</t>
        </is>
      </c>
      <c r="J10" s="11" t="inlineStr">
        <is>
          <t>ЛР1. Сегментація VLAN і маршрутизація між ними</t>
        </is>
      </c>
      <c r="K10" s="11" t="inlineStr">
        <is>
          <t>Комутатор доступу: VLAN POS / каси / гості, маршрутизація між VLAN лише через маршрутизатор з ACL</t>
        </is>
      </c>
      <c r="L10" s="15">
        <f>IF(I10&lt;&gt;"Так","",IF(J10="","Оберіть захід",IF(K10="","Вкажіть, де в мережі",IF(D10="","Оберіть літеру STRIDE",IF(F10="","Вкажіть природу",IF(AND(INDEX('В08 Каталог'!$C$5:$C$19,MATCH(J10,'В08 Каталог'!$B$5:$B$19,0))="Лабораторна",F10="фізична",INDEX('В08 Каталог'!$A$5:$A$19,MATCH(J10,'В08 Каталог'!$B$5:$B$19,0))&lt;&gt;"L10"),"Мережевий захід не закриває фізичну загрозу",IF(AND(INDEX('В08 Каталог'!$C$5:$C$19,MATCH(J10,'В08 Каталог'!$B$5:$B$19,0))="Лабораторна",ISERROR(SEARCH(LEFT(D10,1),INDEX('В08 Каталог'!$D$5:$D$19,MATCH(J10,'В08 Каталог'!$B$5:$B$19,0))))),"Захід не діє на цей тип загрози",IF(AND(INDEX('В08 Каталог'!$C$5:$C$19,MATCH(J10,'В08 Каталог'!$B$5:$B$19,0))="Поза курсом",F10="мережева"),"Для мережевої загрози потрібен захід з лабораторних","ОК"))))))))</f>
        <v/>
      </c>
      <c r="M10" s="22">
        <f>IF(J10="","",IFERROR(INDEX('В08 Каталог'!$E$5:$E$19,MATCH(J10,'В08 Каталог'!$B$5:$B$19,0)),""))</f>
        <v/>
      </c>
      <c r="N10" s="22">
        <f>IF(J10="","",IFERROR(INDEX('В08 Каталог'!$C$5:$C$19,MATCH(J10,'В08 Каталог'!$B$5:$B$19,0)),""))</f>
        <v/>
      </c>
      <c r="O10" s="21" t="n"/>
    </row>
    <row r="11">
      <c r="A11" s="15" t="n">
        <v>7</v>
      </c>
      <c r="B11" s="11" t="inlineStr">
        <is>
          <t>M3. Точки доступу Wi-Fi ↔ дротова мережа відділення (комутатори, каси, АБС)</t>
        </is>
      </c>
      <c r="C11" s="11" t="inlineStr">
        <is>
          <t>мережеві налаштування POS</t>
        </is>
      </c>
      <c r="D11" s="21" t="inlineStr">
        <is>
          <t>S — підміна</t>
        </is>
      </c>
      <c r="E11" s="11" t="inlineStr">
        <is>
          <t>Підроблений DHCP-сервер роздає свій шлюз, і трафік POS іде через пристрій зловмисника</t>
        </is>
      </c>
      <c r="F11" s="21" t="inlineStr">
        <is>
          <t>мережева</t>
        </is>
      </c>
      <c r="G11" s="21" t="n">
        <v>2</v>
      </c>
      <c r="H11" s="11" t="inlineStr">
        <is>
          <t>Мережа/ІТ</t>
        </is>
      </c>
      <c r="I11" s="21" t="n"/>
      <c r="J11" s="11" t="inlineStr">
        <is>
          <t>ЛР3. DHCP Snooping</t>
        </is>
      </c>
      <c r="K11" s="11" t="inlineStr">
        <is>
          <t>Комутатори: DHCP Snooping, довірений лише порт до маршрутизатора</t>
        </is>
      </c>
      <c r="L11" s="15">
        <f>IF(I11&lt;&gt;"Так","",IF(J11="","Оберіть захід",IF(K11="","Вкажіть, де в мережі",IF(D11="","Оберіть літеру STRIDE",IF(F11="","Вкажіть природу",IF(AND(INDEX('В08 Каталог'!$C$5:$C$19,MATCH(J11,'В08 Каталог'!$B$5:$B$19,0))="Лабораторна",F11="фізична",INDEX('В08 Каталог'!$A$5:$A$19,MATCH(J11,'В08 Каталог'!$B$5:$B$19,0))&lt;&gt;"L10"),"Мережевий захід не закриває фізичну загрозу",IF(AND(INDEX('В08 Каталог'!$C$5:$C$19,MATCH(J11,'В08 Каталог'!$B$5:$B$19,0))="Лабораторна",ISERROR(SEARCH(LEFT(D11,1),INDEX('В08 Каталог'!$D$5:$D$19,MATCH(J11,'В08 Каталог'!$B$5:$B$19,0))))),"Захід не діє на цей тип загрози",IF(AND(INDEX('В08 Каталог'!$C$5:$C$19,MATCH(J11,'В08 Каталог'!$B$5:$B$19,0))="Поза курсом",F11="мережева"),"Для мережевої загрози потрібен захід з лабораторних","ОК"))))))))</f>
        <v/>
      </c>
      <c r="M11" s="22">
        <f>IF(J11="","",IFERROR(INDEX('В08 Каталог'!$E$5:$E$19,MATCH(J11,'В08 Каталог'!$B$5:$B$19,0)),""))</f>
        <v/>
      </c>
      <c r="N11" s="22">
        <f>IF(J11="","",IFERROR(INDEX('В08 Каталог'!$C$5:$C$19,MATCH(J11,'В08 Каталог'!$B$5:$B$19,0)),""))</f>
        <v/>
      </c>
      <c r="O11" s="21" t="n"/>
    </row>
    <row r="12">
      <c r="A12" s="15" t="n">
        <v>8</v>
      </c>
      <c r="B12" s="11" t="inlineStr">
        <is>
          <t>M3. Точки доступу Wi-Fi ↔ дротова мережа відділення (комутатори, каси, АБС)</t>
        </is>
      </c>
      <c r="C12" s="11" t="inlineStr">
        <is>
          <t>платіжне повідомлення POS</t>
        </is>
      </c>
      <c r="D12" s="21" t="inlineStr">
        <is>
          <t>T — зміна даних</t>
        </is>
      </c>
      <c r="E12" s="11" t="inlineStr">
        <is>
          <t>Атака «людина посередині» в мережі відділення змінює повідомлення POS дорогою до маршрутизатора</t>
        </is>
      </c>
      <c r="F12" s="21" t="inlineStr">
        <is>
          <t>мережева</t>
        </is>
      </c>
      <c r="G12" s="21" t="n">
        <v>2</v>
      </c>
      <c r="H12" s="11" t="inlineStr">
        <is>
          <t>Шахрайство з картками</t>
        </is>
      </c>
      <c r="I12" s="21" t="n"/>
      <c r="J12" s="11" t="inlineStr">
        <is>
          <t>ЛР3. DHCP Snooping</t>
        </is>
      </c>
      <c r="K12" s="11" t="inlineStr">
        <is>
          <t>Комутатори: DHCP Snooping + перевірка ARP на портах доступу</t>
        </is>
      </c>
      <c r="L12" s="15">
        <f>IF(I12&lt;&gt;"Так","",IF(J12="","Оберіть захід",IF(K12="","Вкажіть, де в мережі",IF(D12="","Оберіть літеру STRIDE",IF(F12="","Вкажіть природу",IF(AND(INDEX('В08 Каталог'!$C$5:$C$19,MATCH(J12,'В08 Каталог'!$B$5:$B$19,0))="Лабораторна",F12="фізична",INDEX('В08 Каталог'!$A$5:$A$19,MATCH(J12,'В08 Каталог'!$B$5:$B$19,0))&lt;&gt;"L10"),"Мережевий захід не закриває фізичну загрозу",IF(AND(INDEX('В08 Каталог'!$C$5:$C$19,MATCH(J12,'В08 Каталог'!$B$5:$B$19,0))="Лабораторна",ISERROR(SEARCH(LEFT(D12,1),INDEX('В08 Каталог'!$D$5:$D$19,MATCH(J12,'В08 Каталог'!$B$5:$B$19,0))))),"Захід не діє на цей тип загрози",IF(AND(INDEX('В08 Каталог'!$C$5:$C$19,MATCH(J12,'В08 Каталог'!$B$5:$B$19,0))="Поза курсом",F12="мережева"),"Для мережевої загрози потрібен захід з лабораторних","ОК"))))))))</f>
        <v/>
      </c>
      <c r="M12" s="22">
        <f>IF(J12="","",IFERROR(INDEX('В08 Каталог'!$E$5:$E$19,MATCH(J12,'В08 Каталог'!$B$5:$B$19,0)),""))</f>
        <v/>
      </c>
      <c r="N12" s="22">
        <f>IF(J12="","",IFERROR(INDEX('В08 Каталог'!$C$5:$C$19,MATCH(J12,'В08 Каталог'!$B$5:$B$19,0)),""))</f>
        <v/>
      </c>
      <c r="O12" s="21" t="n"/>
    </row>
    <row r="13">
      <c r="A13" s="15" t="n">
        <v>9</v>
      </c>
      <c r="B13" s="11" t="inlineStr">
        <is>
          <t>M4. Маршрутизатор відділення ↔ виділена лінія оператора до головного офісу</t>
        </is>
      </c>
      <c r="C13" s="11" t="inlineStr">
        <is>
          <t>платіжне повідомлення</t>
        </is>
      </c>
      <c r="D13" s="21" t="inlineStr">
        <is>
          <t>I — витік</t>
        </is>
      </c>
      <c r="E13" s="11" t="inlineStr">
        <is>
          <t>Хтось на боці оператора або з доступом до лінії читає незашифрований платіжний трафік</t>
        </is>
      </c>
      <c r="F13" s="21" t="inlineStr">
        <is>
          <t>мережева</t>
        </is>
      </c>
      <c r="G13" s="21" t="n">
        <v>3</v>
      </c>
      <c r="H13" s="11" t="inlineStr">
        <is>
          <t>Мережа/ІТ</t>
        </is>
      </c>
      <c r="I13" s="21" t="inlineStr">
        <is>
          <t>Так</t>
        </is>
      </c>
      <c r="J13" s="11" t="inlineStr">
        <is>
          <t>ЛР7. IPsec VPN між відділенням і головним офісом</t>
        </is>
      </c>
      <c r="K13" s="11" t="inlineStr">
        <is>
          <t>Маршрутизатор відділення ↔ маршрутизатор ГО: IPsec-тунель поверх виділеної лінії</t>
        </is>
      </c>
      <c r="L13" s="15">
        <f>IF(I13&lt;&gt;"Так","",IF(J13="","Оберіть захід",IF(K13="","Вкажіть, де в мережі",IF(D13="","Оберіть літеру STRIDE",IF(F13="","Вкажіть природу",IF(AND(INDEX('В08 Каталог'!$C$5:$C$19,MATCH(J13,'В08 Каталог'!$B$5:$B$19,0))="Лабораторна",F13="фізична",INDEX('В08 Каталог'!$A$5:$A$19,MATCH(J13,'В08 Каталог'!$B$5:$B$19,0))&lt;&gt;"L10"),"Мережевий захід не закриває фізичну загрозу",IF(AND(INDEX('В08 Каталог'!$C$5:$C$19,MATCH(J13,'В08 Каталог'!$B$5:$B$19,0))="Лабораторна",ISERROR(SEARCH(LEFT(D13,1),INDEX('В08 Каталог'!$D$5:$D$19,MATCH(J13,'В08 Каталог'!$B$5:$B$19,0))))),"Захід не діє на цей тип загрози",IF(AND(INDEX('В08 Каталог'!$C$5:$C$19,MATCH(J13,'В08 Каталог'!$B$5:$B$19,0))="Поза курсом",F13="мережева"),"Для мережевої загрози потрібен захід з лабораторних","ОК"))))))))</f>
        <v/>
      </c>
      <c r="M13" s="22">
        <f>IF(J13="","",IFERROR(INDEX('В08 Каталог'!$E$5:$E$19,MATCH(J13,'В08 Каталог'!$B$5:$B$19,0)),""))</f>
        <v/>
      </c>
      <c r="N13" s="22">
        <f>IF(J13="","",IFERROR(INDEX('В08 Каталог'!$C$5:$C$19,MATCH(J13,'В08 Каталог'!$B$5:$B$19,0)),""))</f>
        <v/>
      </c>
      <c r="O13" s="21" t="n"/>
    </row>
    <row r="14">
      <c r="A14" s="15" t="n">
        <v>10</v>
      </c>
      <c r="B14" s="11" t="inlineStr">
        <is>
          <t>M4. Маршрутизатор відділення ↔ виділена лінія оператора до головного офісу</t>
        </is>
      </c>
      <c r="C14" s="11" t="inlineStr">
        <is>
          <t>зв'язок відділення з ГО</t>
        </is>
      </c>
      <c r="D14" s="21" t="inlineStr">
        <is>
          <t>D — відмова в обслуговуванні</t>
        </is>
      </c>
      <c r="E14" s="11" t="inlineStr">
        <is>
          <t>Обрив виділеної лінії — жодна операція з POS не проходить до шлюзу</t>
        </is>
      </c>
      <c r="F14" s="21" t="inlineStr">
        <is>
          <t>фізична</t>
        </is>
      </c>
      <c r="G14" s="21" t="n">
        <v>2</v>
      </c>
      <c r="H14" s="11" t="inlineStr">
        <is>
          <t>Живлення і зв'язок</t>
        </is>
      </c>
      <c r="I14" s="21" t="n"/>
      <c r="J14" s="11" t="inlineStr">
        <is>
          <t>Поза курсом: резервний канал і угода про рівень обслуговування</t>
        </is>
      </c>
      <c r="K14" s="11" t="inlineStr">
        <is>
          <t>Маршрутизатор: резервний LTE-канал і SLA з оператором</t>
        </is>
      </c>
      <c r="L14" s="15">
        <f>IF(I14&lt;&gt;"Так","",IF(J14="","Оберіть захід",IF(K14="","Вкажіть, де в мережі",IF(D14="","Оберіть літеру STRIDE",IF(F14="","Вкажіть природу",IF(AND(INDEX('В08 Каталог'!$C$5:$C$19,MATCH(J14,'В08 Каталог'!$B$5:$B$19,0))="Лабораторна",F14="фізична",INDEX('В08 Каталог'!$A$5:$A$19,MATCH(J14,'В08 Каталог'!$B$5:$B$19,0))&lt;&gt;"L10"),"Мережевий захід не закриває фізичну загрозу",IF(AND(INDEX('В08 Каталог'!$C$5:$C$19,MATCH(J14,'В08 Каталог'!$B$5:$B$19,0))="Лабораторна",ISERROR(SEARCH(LEFT(D14,1),INDEX('В08 Каталог'!$D$5:$D$19,MATCH(J14,'В08 Каталог'!$B$5:$B$19,0))))),"Захід не діє на цей тип загрози",IF(AND(INDEX('В08 Каталог'!$C$5:$C$19,MATCH(J14,'В08 Каталог'!$B$5:$B$19,0))="Поза курсом",F14="мережева"),"Для мережевої загрози потрібен захід з лабораторних","ОК"))))))))</f>
        <v/>
      </c>
      <c r="M14" s="22">
        <f>IF(J14="","",IFERROR(INDEX('В08 Каталог'!$E$5:$E$19,MATCH(J14,'В08 Каталог'!$B$5:$B$19,0)),""))</f>
        <v/>
      </c>
      <c r="N14" s="22">
        <f>IF(J14="","",IFERROR(INDEX('В08 Каталог'!$C$5:$C$19,MATCH(J14,'В08 Каталог'!$B$5:$B$19,0)),""))</f>
        <v/>
      </c>
      <c r="O14" s="21" t="n"/>
    </row>
    <row r="15">
      <c r="A15" s="15" t="n">
        <v>11</v>
      </c>
      <c r="B15" s="11" t="inlineStr">
        <is>
          <t>M5. Головний офіс ↔ платіжний шлюз і АБС у центрі обробки</t>
        </is>
      </c>
      <c r="C15" s="11" t="inlineStr">
        <is>
          <t>запит до шлюзу й АБС</t>
        </is>
      </c>
      <c r="D15" s="21" t="inlineStr">
        <is>
          <t>S — підміна</t>
        </is>
      </c>
      <c r="E15" s="11" t="inlineStr">
        <is>
          <t>Зламаний ПК відділення надсилає до шлюзу/АБС запити від імені POS — фальшиві операції</t>
        </is>
      </c>
      <c r="F15" s="21" t="inlineStr">
        <is>
          <t>мережева</t>
        </is>
      </c>
      <c r="G15" s="21" t="n">
        <v>3</v>
      </c>
      <c r="H15" s="11" t="inlineStr">
        <is>
          <t>Мережа/ІТ</t>
        </is>
      </c>
      <c r="I15" s="21" t="inlineStr">
        <is>
          <t>Так</t>
        </is>
      </c>
      <c r="J15" s="11" t="inlineStr">
        <is>
          <t>ЛР5. Міжмережевий екран ASA: зони й NAT</t>
        </is>
      </c>
      <c r="K15" s="11" t="inlineStr">
        <is>
          <t>Міжмережевий екран ASA на виході відділення: до шлюзу дозволено лише з VLAN POS</t>
        </is>
      </c>
      <c r="L15" s="15">
        <f>IF(I15&lt;&gt;"Так","",IF(J15="","Оберіть захід",IF(K15="","Вкажіть, де в мережі",IF(D15="","Оберіть літеру STRIDE",IF(F15="","Вкажіть природу",IF(AND(INDEX('В08 Каталог'!$C$5:$C$19,MATCH(J15,'В08 Каталог'!$B$5:$B$19,0))="Лабораторна",F15="фізична",INDEX('В08 Каталог'!$A$5:$A$19,MATCH(J15,'В08 Каталог'!$B$5:$B$19,0))&lt;&gt;"L10"),"Мережевий захід не закриває фізичну загрозу",IF(AND(INDEX('В08 Каталог'!$C$5:$C$19,MATCH(J15,'В08 Каталог'!$B$5:$B$19,0))="Лабораторна",ISERROR(SEARCH(LEFT(D15,1),INDEX('В08 Каталог'!$D$5:$D$19,MATCH(J15,'В08 Каталог'!$B$5:$B$19,0))))),"Захід не діє на цей тип загрози",IF(AND(INDEX('В08 Каталог'!$C$5:$C$19,MATCH(J15,'В08 Каталог'!$B$5:$B$19,0))="Поза курсом",F15="мережева"),"Для мережевої загрози потрібен захід з лабораторних","ОК"))))))))</f>
        <v/>
      </c>
      <c r="M15" s="22">
        <f>IF(J15="","",IFERROR(INDEX('В08 Каталог'!$E$5:$E$19,MATCH(J15,'В08 Каталог'!$B$5:$B$19,0)),""))</f>
        <v/>
      </c>
      <c r="N15" s="22">
        <f>IF(J15="","",IFERROR(INDEX('В08 Каталог'!$C$5:$C$19,MATCH(J15,'В08 Каталог'!$B$5:$B$19,0)),""))</f>
        <v/>
      </c>
      <c r="O15" s="21" t="n"/>
    </row>
    <row r="16">
      <c r="A16" s="15" t="n">
        <v>12</v>
      </c>
      <c r="B16" s="11" t="inlineStr">
        <is>
          <t>M5. Головний офіс ↔ платіжний шлюз і АБС у центрі обробки</t>
        </is>
      </c>
      <c r="C16" s="11" t="inlineStr">
        <is>
          <t>платіжне повідомлення</t>
        </is>
      </c>
      <c r="D16" s="21" t="inlineStr">
        <is>
          <t>T — зміна даних</t>
        </is>
      </c>
      <c r="E16" s="11" t="inlineStr">
        <is>
          <t>Зміна суми чи реквізитів платіжного повідомлення між відділенням і шлюзом — гроші йдуть шахраю</t>
        </is>
      </c>
      <c r="F16" s="21" t="inlineStr">
        <is>
          <t>мережева</t>
        </is>
      </c>
      <c r="G16" s="21" t="n">
        <v>3</v>
      </c>
      <c r="H16" s="11" t="inlineStr">
        <is>
          <t>Шахрайство з картками</t>
        </is>
      </c>
      <c r="I16" s="21" t="inlineStr">
        <is>
          <t>Так</t>
        </is>
      </c>
      <c r="J16" s="11" t="inlineStr">
        <is>
          <t>ЛР7. IPsec VPN між відділенням і головним офісом</t>
        </is>
      </c>
      <c r="K16" s="11" t="inlineStr">
        <is>
          <t>IPsec (ESP з контролем цілісності) між маршрутизатором відділення і ГО</t>
        </is>
      </c>
      <c r="L16" s="15">
        <f>IF(I16&lt;&gt;"Так","",IF(J16="","Оберіть захід",IF(K16="","Вкажіть, де в мережі",IF(D16="","Оберіть літеру STRIDE",IF(F16="","Вкажіть природу",IF(AND(INDEX('В08 Каталог'!$C$5:$C$19,MATCH(J16,'В08 Каталог'!$B$5:$B$19,0))="Лабораторна",F16="фізична",INDEX('В08 Каталог'!$A$5:$A$19,MATCH(J16,'В08 Каталог'!$B$5:$B$19,0))&lt;&gt;"L10"),"Мережевий захід не закриває фізичну загрозу",IF(AND(INDEX('В08 Каталог'!$C$5:$C$19,MATCH(J16,'В08 Каталог'!$B$5:$B$19,0))="Лабораторна",ISERROR(SEARCH(LEFT(D16,1),INDEX('В08 Каталог'!$D$5:$D$19,MATCH(J16,'В08 Каталог'!$B$5:$B$19,0))))),"Захід не діє на цей тип загрози",IF(AND(INDEX('В08 Каталог'!$C$5:$C$19,MATCH(J16,'В08 Каталог'!$B$5:$B$19,0))="Поза курсом",F16="мережева"),"Для мережевої загрози потрібен захід з лабораторних","ОК"))))))))</f>
        <v/>
      </c>
      <c r="M16" s="22">
        <f>IF(J16="","",IFERROR(INDEX('В08 Каталог'!$E$5:$E$19,MATCH(J16,'В08 Каталог'!$B$5:$B$19,0)),""))</f>
        <v/>
      </c>
      <c r="N16" s="22">
        <f>IF(J16="","",IFERROR(INDEX('В08 Каталог'!$C$5:$C$19,MATCH(J16,'В08 Каталог'!$B$5:$B$19,0)),""))</f>
        <v/>
      </c>
      <c r="O16" s="21" t="n"/>
    </row>
    <row r="17">
      <c r="A17" s="15" t="n">
        <v>13</v>
      </c>
      <c r="B17" s="11" t="inlineStr">
        <is>
          <t>M5. Головний офіс ↔ платіжний шлюз і АБС у центрі обробки</t>
        </is>
      </c>
      <c r="C17" s="11" t="inlineStr">
        <is>
          <t>журнали подій</t>
        </is>
      </c>
      <c r="D17" s="21" t="inlineStr">
        <is>
          <t>R — відмова від дій</t>
        </is>
      </c>
      <c r="E17" s="11" t="inlineStr">
        <is>
          <t>Шлюз і маршрутизатор не зберігають журналу — після шахрайства не відновити, хто і що зробив</t>
        </is>
      </c>
      <c r="F17" s="21" t="inlineStr">
        <is>
          <t>мережева</t>
        </is>
      </c>
      <c r="G17" s="21" t="n">
        <v>2</v>
      </c>
      <c r="H17" s="11" t="inlineStr">
        <is>
          <t>Персонал і процеси</t>
        </is>
      </c>
      <c r="I17" s="21" t="n"/>
      <c r="J17" s="11" t="inlineStr">
        <is>
          <t>ЛР10. Syslog, NTP і моніторинг (лише виявляє)</t>
        </is>
      </c>
      <c r="K17" s="11" t="inlineStr">
        <is>
          <t>Syslog і NTP на маршрутизаторі та ASA, журнали в ГО</t>
        </is>
      </c>
      <c r="L17" s="15">
        <f>IF(I17&lt;&gt;"Так","",IF(J17="","Оберіть захід",IF(K17="","Вкажіть, де в мережі",IF(D17="","Оберіть літеру STRIDE",IF(F17="","Вкажіть природу",IF(AND(INDEX('В08 Каталог'!$C$5:$C$19,MATCH(J17,'В08 Каталог'!$B$5:$B$19,0))="Лабораторна",F17="фізична",INDEX('В08 Каталог'!$A$5:$A$19,MATCH(J17,'В08 Каталог'!$B$5:$B$19,0))&lt;&gt;"L10"),"Мережевий захід не закриває фізичну загрозу",IF(AND(INDEX('В08 Каталог'!$C$5:$C$19,MATCH(J17,'В08 Каталог'!$B$5:$B$19,0))="Лабораторна",ISERROR(SEARCH(LEFT(D17,1),INDEX('В08 Каталог'!$D$5:$D$19,MATCH(J17,'В08 Каталог'!$B$5:$B$19,0))))),"Захід не діє на цей тип загрози",IF(AND(INDEX('В08 Каталог'!$C$5:$C$19,MATCH(J17,'В08 Каталог'!$B$5:$B$19,0))="Поза курсом",F17="мережева"),"Для мережевої загрози потрібен захід з лабораторних","ОК"))))))))</f>
        <v/>
      </c>
      <c r="M17" s="22">
        <f>IF(J17="","",IFERROR(INDEX('В08 Каталог'!$E$5:$E$19,MATCH(J17,'В08 Каталог'!$B$5:$B$19,0)),""))</f>
        <v/>
      </c>
      <c r="N17" s="22">
        <f>IF(J17="","",IFERROR(INDEX('В08 Каталог'!$C$5:$C$19,MATCH(J17,'В08 Каталог'!$B$5:$B$19,0)),""))</f>
        <v/>
      </c>
      <c r="O17" s="21" t="n"/>
    </row>
    <row r="18">
      <c r="A18" s="15" t="n">
        <v>14</v>
      </c>
      <c r="B18" s="11" t="inlineStr">
        <is>
          <t>M6. Підрядник-інтегратор ↔ інтерфейси керування Wi-Fi і комутаторів</t>
        </is>
      </c>
      <c r="C18" s="11" t="inlineStr">
        <is>
          <t>керування комутаторами й Wi-Fi</t>
        </is>
      </c>
      <c r="D18" s="21" t="inlineStr">
        <is>
          <t>E — підвищення прав</t>
        </is>
      </c>
      <c r="E18" s="11" t="inlineStr">
        <is>
          <t>Підрядник має повні права на комутатори й Wi-Fi і може перевести POS у свій VLAN або вимкнути захист</t>
        </is>
      </c>
      <c r="F18" s="21" t="inlineStr">
        <is>
          <t>мережева</t>
        </is>
      </c>
      <c r="G18" s="21" t="n">
        <v>2</v>
      </c>
      <c r="H18" s="11" t="inlineStr">
        <is>
          <t>Персонал і процеси</t>
        </is>
      </c>
      <c r="I18" s="21" t="n"/>
      <c r="J18" s="11" t="inlineStr">
        <is>
          <t>ЛР9. SSH, AAA і RADIUS, ролі адміністраторів</t>
        </is>
      </c>
      <c r="K18" s="11" t="inlineStr">
        <is>
          <t>Комутатори й контролер Wi-Fi: AAA/RADIUS, окрема роль підрядника лише з правами на Wi-Fi</t>
        </is>
      </c>
      <c r="L18" s="15">
        <f>IF(I18&lt;&gt;"Так","",IF(J18="","Оберіть захід",IF(K18="","Вкажіть, де в мережі",IF(D18="","Оберіть літеру STRIDE",IF(F18="","Вкажіть природу",IF(AND(INDEX('В08 Каталог'!$C$5:$C$19,MATCH(J18,'В08 Каталог'!$B$5:$B$19,0))="Лабораторна",F18="фізична",INDEX('В08 Каталог'!$A$5:$A$19,MATCH(J18,'В08 Каталог'!$B$5:$B$19,0))&lt;&gt;"L10"),"Мережевий захід не закриває фізичну загрозу",IF(AND(INDEX('В08 Каталог'!$C$5:$C$19,MATCH(J18,'В08 Каталог'!$B$5:$B$19,0))="Лабораторна",ISERROR(SEARCH(LEFT(D18,1),INDEX('В08 Каталог'!$D$5:$D$19,MATCH(J18,'В08 Каталог'!$B$5:$B$19,0))))),"Захід не діє на цей тип загрози",IF(AND(INDEX('В08 Каталог'!$C$5:$C$19,MATCH(J18,'В08 Каталог'!$B$5:$B$19,0))="Поза курсом",F18="мережева"),"Для мережевої загрози потрібен захід з лабораторних","ОК"))))))))</f>
        <v/>
      </c>
      <c r="M18" s="22">
        <f>IF(J18="","",IFERROR(INDEX('В08 Каталог'!$E$5:$E$19,MATCH(J18,'В08 Каталог'!$B$5:$B$19,0)),""))</f>
        <v/>
      </c>
      <c r="N18" s="22">
        <f>IF(J18="","",IFERROR(INDEX('В08 Каталог'!$C$5:$C$19,MATCH(J18,'В08 Каталог'!$B$5:$B$19,0)),""))</f>
        <v/>
      </c>
      <c r="O18" s="21" t="n"/>
    </row>
    <row r="19">
      <c r="A19" s="15" t="n">
        <v>15</v>
      </c>
      <c r="B19" s="11" t="inlineStr">
        <is>
          <t>M6. Підрядник-інтегратор ↔ інтерфейси керування Wi-Fi і комутаторів</t>
        </is>
      </c>
      <c r="C19" s="11" t="inlineStr">
        <is>
          <t>облікові дані адміністратора</t>
        </is>
      </c>
      <c r="D19" s="21" t="inlineStr">
        <is>
          <t>S — підміна</t>
        </is>
      </c>
      <c r="E19" s="11" t="inlineStr">
        <is>
          <t>Спільний пароль адміністратора лишається в підрядника й після договору — вхід від імені банку</t>
        </is>
      </c>
      <c r="F19" s="21" t="inlineStr">
        <is>
          <t>мережева</t>
        </is>
      </c>
      <c r="G19" s="21" t="n">
        <v>3</v>
      </c>
      <c r="H19" s="11" t="inlineStr">
        <is>
          <t>Мережа/ІТ</t>
        </is>
      </c>
      <c r="I19" s="21" t="inlineStr">
        <is>
          <t>Так</t>
        </is>
      </c>
      <c r="J19" s="11" t="inlineStr">
        <is>
          <t>ЛР9. SSH, AAA і RADIUS, ролі адміністраторів</t>
        </is>
      </c>
      <c r="K19" s="11" t="inlineStr">
        <is>
          <t>Усі мережеві пристрої: персональні облікові записи через RADIUS, лише SSH, блокування після договору</t>
        </is>
      </c>
      <c r="L19" s="15">
        <f>IF(I19&lt;&gt;"Так","",IF(J19="","Оберіть захід",IF(K19="","Вкажіть, де в мережі",IF(D19="","Оберіть літеру STRIDE",IF(F19="","Вкажіть природу",IF(AND(INDEX('В08 Каталог'!$C$5:$C$19,MATCH(J19,'В08 Каталог'!$B$5:$B$19,0))="Лабораторна",F19="фізична",INDEX('В08 Каталог'!$A$5:$A$19,MATCH(J19,'В08 Каталог'!$B$5:$B$19,0))&lt;&gt;"L10"),"Мережевий захід не закриває фізичну загрозу",IF(AND(INDEX('В08 Каталог'!$C$5:$C$19,MATCH(J19,'В08 Каталог'!$B$5:$B$19,0))="Лабораторна",ISERROR(SEARCH(LEFT(D19,1),INDEX('В08 Каталог'!$D$5:$D$19,MATCH(J19,'В08 Каталог'!$B$5:$B$19,0))))),"Захід не діє на цей тип загрози",IF(AND(INDEX('В08 Каталог'!$C$5:$C$19,MATCH(J19,'В08 Каталог'!$B$5:$B$19,0))="Поза курсом",F19="мережева"),"Для мережевої загрози потрібен захід з лабораторних","ОК"))))))))</f>
        <v/>
      </c>
      <c r="M19" s="22">
        <f>IF(J19="","",IFERROR(INDEX('В08 Каталог'!$E$5:$E$19,MATCH(J19,'В08 Каталог'!$B$5:$B$19,0)),""))</f>
        <v/>
      </c>
      <c r="N19" s="22">
        <f>IF(J19="","",IFERROR(INDEX('В08 Каталог'!$C$5:$C$19,MATCH(J19,'В08 Каталог'!$B$5:$B$19,0)),""))</f>
        <v/>
      </c>
      <c r="O19" s="21" t="n"/>
    </row>
    <row r="20">
      <c r="A20" s="15" t="n">
        <v>16</v>
      </c>
      <c r="B20" s="11" t="inlineStr">
        <is>
          <t>M6. Підрядник-інтегратор ↔ інтерфейси керування Wi-Fi і комутаторів</t>
        </is>
      </c>
      <c r="C20" s="11" t="inlineStr">
        <is>
          <t>дії підрядника</t>
        </is>
      </c>
      <c r="D20" s="21" t="inlineStr">
        <is>
          <t>R — відмова від дій</t>
        </is>
      </c>
      <c r="E20" s="11" t="inlineStr">
        <is>
          <t>Підрядник заперечує, що змінював конфігурацію, — немає ні журналу, ні регламенту робіт</t>
        </is>
      </c>
      <c r="F20" s="21" t="inlineStr">
        <is>
          <t>організаційна</t>
        </is>
      </c>
      <c r="G20" s="21" t="n">
        <v>2</v>
      </c>
      <c r="H20" s="11" t="inlineStr">
        <is>
          <t>Персонал і процеси</t>
        </is>
      </c>
      <c r="I20" s="21" t="n"/>
      <c r="J20" s="11" t="inlineStr">
        <is>
          <t>Поза курсом: договір, регламент, журнал відвідувань підрядника</t>
        </is>
      </c>
      <c r="K20" s="11" t="inlineStr">
        <is>
          <t>Договір і регламент: заявка на кожен вхід, журнал відвідувань, супровід адміністратора банку</t>
        </is>
      </c>
      <c r="L20" s="15">
        <f>IF(I20&lt;&gt;"Так","",IF(J20="","Оберіть захід",IF(K20="","Вкажіть, де в мережі",IF(D20="","Оберіть літеру STRIDE",IF(F20="","Вкажіть природу",IF(AND(INDEX('В08 Каталог'!$C$5:$C$19,MATCH(J20,'В08 Каталог'!$B$5:$B$19,0))="Лабораторна",F20="фізична",INDEX('В08 Каталог'!$A$5:$A$19,MATCH(J20,'В08 Каталог'!$B$5:$B$19,0))&lt;&gt;"L10"),"Мережевий захід не закриває фізичну загрозу",IF(AND(INDEX('В08 Каталог'!$C$5:$C$19,MATCH(J20,'В08 Каталог'!$B$5:$B$19,0))="Лабораторна",ISERROR(SEARCH(LEFT(D20,1),INDEX('В08 Каталог'!$D$5:$D$19,MATCH(J20,'В08 Каталог'!$B$5:$B$19,0))))),"Захід не діє на цей тип загрози",IF(AND(INDEX('В08 Каталог'!$C$5:$C$19,MATCH(J20,'В08 Каталог'!$B$5:$B$19,0))="Поза курсом",F20="мережева"),"Для мережевої загрози потрібен захід з лабораторних","ОК"))))))))</f>
        <v/>
      </c>
      <c r="M20" s="22">
        <f>IF(J20="","",IFERROR(INDEX('В08 Каталог'!$E$5:$E$19,MATCH(J20,'В08 Каталог'!$B$5:$B$19,0)),""))</f>
        <v/>
      </c>
      <c r="N20" s="22">
        <f>IF(J20="","",IFERROR(INDEX('В08 Каталог'!$C$5:$C$19,MATCH(J20,'В08 Каталог'!$B$5:$B$19,0)),""))</f>
        <v/>
      </c>
      <c r="O20" s="21" t="n"/>
    </row>
    <row r="21">
      <c r="A21" s="15" t="n">
        <v>17</v>
      </c>
      <c r="B21" s="11" t="n"/>
      <c r="C21" s="11" t="n"/>
      <c r="D21" s="21" t="n"/>
      <c r="E21" s="11" t="n"/>
      <c r="F21" s="21" t="n"/>
      <c r="G21" s="21" t="n"/>
      <c r="H21" s="11" t="n"/>
      <c r="I21" s="21" t="n"/>
      <c r="J21" s="11" t="n"/>
      <c r="K21" s="11" t="n"/>
      <c r="L21" s="15">
        <f>IF(I21&lt;&gt;"Так","",IF(J21="","Оберіть захід",IF(K21="","Вкажіть, де в мережі",IF(D21="","Оберіть літеру STRIDE",IF(F21="","Вкажіть природу",IF(AND(INDEX('В08 Каталог'!$C$5:$C$19,MATCH(J21,'В08 Каталог'!$B$5:$B$19,0))="Лабораторна",F21="фізична",INDEX('В08 Каталог'!$A$5:$A$19,MATCH(J21,'В08 Каталог'!$B$5:$B$19,0))&lt;&gt;"L10"),"Мережевий захід не закриває фізичну загрозу",IF(AND(INDEX('В08 Каталог'!$C$5:$C$19,MATCH(J21,'В08 Каталог'!$B$5:$B$19,0))="Лабораторна",ISERROR(SEARCH(LEFT(D21,1),INDEX('В08 Каталог'!$D$5:$D$19,MATCH(J21,'В08 Каталог'!$B$5:$B$19,0))))),"Захід не діє на цей тип загрози",IF(AND(INDEX('В08 Каталог'!$C$5:$C$19,MATCH(J21,'В08 Каталог'!$B$5:$B$19,0))="Поза курсом",F21="мережева"),"Для мережевої загрози потрібен захід з лабораторних","ОК"))))))))</f>
        <v/>
      </c>
      <c r="M21" s="22">
        <f>IF(J21="","",IFERROR(INDEX('В08 Каталог'!$E$5:$E$19,MATCH(J21,'В08 Каталог'!$B$5:$B$19,0)),""))</f>
        <v/>
      </c>
      <c r="N21" s="22">
        <f>IF(J21="","",IFERROR(INDEX('В08 Каталог'!$C$5:$C$19,MATCH(J21,'В08 Каталог'!$B$5:$B$19,0)),""))</f>
        <v/>
      </c>
      <c r="O21" s="21" t="n"/>
    </row>
    <row r="22">
      <c r="A22" s="15" t="n">
        <v>18</v>
      </c>
      <c r="B22" s="11" t="n"/>
      <c r="C22" s="11" t="n"/>
      <c r="D22" s="21" t="n"/>
      <c r="E22" s="11" t="n"/>
      <c r="F22" s="21" t="n"/>
      <c r="G22" s="21" t="n"/>
      <c r="H22" s="11" t="n"/>
      <c r="I22" s="21" t="n"/>
      <c r="J22" s="11" t="n"/>
      <c r="K22" s="11" t="n"/>
      <c r="L22" s="15">
        <f>IF(I22&lt;&gt;"Так","",IF(J22="","Оберіть захід",IF(K22="","Вкажіть, де в мережі",IF(D22="","Оберіть літеру STRIDE",IF(F22="","Вкажіть природу",IF(AND(INDEX('В08 Каталог'!$C$5:$C$19,MATCH(J22,'В08 Каталог'!$B$5:$B$19,0))="Лабораторна",F22="фізична",INDEX('В08 Каталог'!$A$5:$A$19,MATCH(J22,'В08 Каталог'!$B$5:$B$19,0))&lt;&gt;"L10"),"Мережевий захід не закриває фізичну загрозу",IF(AND(INDEX('В08 Каталог'!$C$5:$C$19,MATCH(J22,'В08 Каталог'!$B$5:$B$19,0))="Лабораторна",ISERROR(SEARCH(LEFT(D22,1),INDEX('В08 Каталог'!$D$5:$D$19,MATCH(J22,'В08 Каталог'!$B$5:$B$19,0))))),"Захід не діє на цей тип загрози",IF(AND(INDEX('В08 Каталог'!$C$5:$C$19,MATCH(J22,'В08 Каталог'!$B$5:$B$19,0))="Поза курсом",F22="мережева"),"Для мережевої загрози потрібен захід з лабораторних","ОК"))))))))</f>
        <v/>
      </c>
      <c r="M22" s="22">
        <f>IF(J22="","",IFERROR(INDEX('В08 Каталог'!$E$5:$E$19,MATCH(J22,'В08 Каталог'!$B$5:$B$19,0)),""))</f>
        <v/>
      </c>
      <c r="N22" s="22">
        <f>IF(J22="","",IFERROR(INDEX('В08 Каталог'!$C$5:$C$19,MATCH(J22,'В08 Каталог'!$B$5:$B$19,0)),""))</f>
        <v/>
      </c>
      <c r="O22" s="21" t="n"/>
    </row>
    <row r="23">
      <c r="A23" s="15" t="n">
        <v>19</v>
      </c>
      <c r="B23" s="11" t="n"/>
      <c r="C23" s="11" t="n"/>
      <c r="D23" s="21" t="n"/>
      <c r="E23" s="11" t="n"/>
      <c r="F23" s="21" t="n"/>
      <c r="G23" s="21" t="n"/>
      <c r="H23" s="11" t="n"/>
      <c r="I23" s="21" t="n"/>
      <c r="J23" s="11" t="n"/>
      <c r="K23" s="11" t="n"/>
      <c r="L23" s="15">
        <f>IF(I23&lt;&gt;"Так","",IF(J23="","Оберіть захід",IF(K23="","Вкажіть, де в мережі",IF(D23="","Оберіть літеру STRIDE",IF(F23="","Вкажіть природу",IF(AND(INDEX('В08 Каталог'!$C$5:$C$19,MATCH(J23,'В08 Каталог'!$B$5:$B$19,0))="Лабораторна",F23="фізична",INDEX('В08 Каталог'!$A$5:$A$19,MATCH(J23,'В08 Каталог'!$B$5:$B$19,0))&lt;&gt;"L10"),"Мережевий захід не закриває фізичну загрозу",IF(AND(INDEX('В08 Каталог'!$C$5:$C$19,MATCH(J23,'В08 Каталог'!$B$5:$B$19,0))="Лабораторна",ISERROR(SEARCH(LEFT(D23,1),INDEX('В08 Каталог'!$D$5:$D$19,MATCH(J23,'В08 Каталог'!$B$5:$B$19,0))))),"Захід не діє на цей тип загрози",IF(AND(INDEX('В08 Каталог'!$C$5:$C$19,MATCH(J23,'В08 Каталог'!$B$5:$B$19,0))="Поза курсом",F23="мережева"),"Для мережевої загрози потрібен захід з лабораторних","ОК"))))))))</f>
        <v/>
      </c>
      <c r="M23" s="22">
        <f>IF(J23="","",IFERROR(INDEX('В08 Каталог'!$E$5:$E$19,MATCH(J23,'В08 Каталог'!$B$5:$B$19,0)),""))</f>
        <v/>
      </c>
      <c r="N23" s="22">
        <f>IF(J23="","",IFERROR(INDEX('В08 Каталог'!$C$5:$C$19,MATCH(J23,'В08 Каталог'!$B$5:$B$19,0)),""))</f>
        <v/>
      </c>
      <c r="O23" s="21" t="n"/>
    </row>
    <row r="24">
      <c r="A24" s="15" t="n">
        <v>20</v>
      </c>
      <c r="B24" s="11" t="n"/>
      <c r="C24" s="11" t="n"/>
      <c r="D24" s="21" t="n"/>
      <c r="E24" s="11" t="n"/>
      <c r="F24" s="21" t="n"/>
      <c r="G24" s="21" t="n"/>
      <c r="H24" s="11" t="n"/>
      <c r="I24" s="21" t="n"/>
      <c r="J24" s="11" t="n"/>
      <c r="K24" s="11" t="n"/>
      <c r="L24" s="15">
        <f>IF(I24&lt;&gt;"Так","",IF(J24="","Оберіть захід",IF(K24="","Вкажіть, де в мережі",IF(D24="","Оберіть літеру STRIDE",IF(F24="","Вкажіть природу",IF(AND(INDEX('В08 Каталог'!$C$5:$C$19,MATCH(J24,'В08 Каталог'!$B$5:$B$19,0))="Лабораторна",F24="фізична",INDEX('В08 Каталог'!$A$5:$A$19,MATCH(J24,'В08 Каталог'!$B$5:$B$19,0))&lt;&gt;"L10"),"Мережевий захід не закриває фізичну загрозу",IF(AND(INDEX('В08 Каталог'!$C$5:$C$19,MATCH(J24,'В08 Каталог'!$B$5:$B$19,0))="Лабораторна",ISERROR(SEARCH(LEFT(D24,1),INDEX('В08 Каталог'!$D$5:$D$19,MATCH(J24,'В08 Каталог'!$B$5:$B$19,0))))),"Захід не діє на цей тип загрози",IF(AND(INDEX('В08 Каталог'!$C$5:$C$19,MATCH(J24,'В08 Каталог'!$B$5:$B$19,0))="Поза курсом",F24="мережева"),"Для мережевої загрози потрібен захід з лабораторних","ОК"))))))))</f>
        <v/>
      </c>
      <c r="M24" s="22">
        <f>IF(J24="","",IFERROR(INDEX('В08 Каталог'!$E$5:$E$19,MATCH(J24,'В08 Каталог'!$B$5:$B$19,0)),""))</f>
        <v/>
      </c>
      <c r="N24" s="22">
        <f>IF(J24="","",IFERROR(INDEX('В08 Каталог'!$C$5:$C$19,MATCH(J24,'В08 Каталог'!$B$5:$B$19,0)),""))</f>
        <v/>
      </c>
      <c r="O24" s="21" t="n"/>
    </row>
    <row r="25">
      <c r="A25" s="15" t="n">
        <v>21</v>
      </c>
      <c r="B25" s="11" t="n"/>
      <c r="C25" s="11" t="n"/>
      <c r="D25" s="21" t="n"/>
      <c r="E25" s="11" t="n"/>
      <c r="F25" s="21" t="n"/>
      <c r="G25" s="21" t="n"/>
      <c r="H25" s="11" t="n"/>
      <c r="I25" s="21" t="n"/>
      <c r="J25" s="11" t="n"/>
      <c r="K25" s="11" t="n"/>
      <c r="L25" s="15">
        <f>IF(I25&lt;&gt;"Так","",IF(J25="","Оберіть захід",IF(K25="","Вкажіть, де в мережі",IF(D25="","Оберіть літеру STRIDE",IF(F25="","Вкажіть природу",IF(AND(INDEX('В08 Каталог'!$C$5:$C$19,MATCH(J25,'В08 Каталог'!$B$5:$B$19,0))="Лабораторна",F25="фізична",INDEX('В08 Каталог'!$A$5:$A$19,MATCH(J25,'В08 Каталог'!$B$5:$B$19,0))&lt;&gt;"L10"),"Мережевий захід не закриває фізичну загрозу",IF(AND(INDEX('В08 Каталог'!$C$5:$C$19,MATCH(J25,'В08 Каталог'!$B$5:$B$19,0))="Лабораторна",ISERROR(SEARCH(LEFT(D25,1),INDEX('В08 Каталог'!$D$5:$D$19,MATCH(J25,'В08 Каталог'!$B$5:$B$19,0))))),"Захід не діє на цей тип загрози",IF(AND(INDEX('В08 Каталог'!$C$5:$C$19,MATCH(J25,'В08 Каталог'!$B$5:$B$19,0))="Поза курсом",F25="мережева"),"Для мережевої загрози потрібен захід з лабораторних","ОК"))))))))</f>
        <v/>
      </c>
      <c r="M25" s="22">
        <f>IF(J25="","",IFERROR(INDEX('В08 Каталог'!$E$5:$E$19,MATCH(J25,'В08 Каталог'!$B$5:$B$19,0)),""))</f>
        <v/>
      </c>
      <c r="N25" s="22">
        <f>IF(J25="","",IFERROR(INDEX('В08 Каталог'!$C$5:$C$19,MATCH(J25,'В08 Каталог'!$B$5:$B$19,0)),""))</f>
        <v/>
      </c>
      <c r="O25" s="21" t="n"/>
    </row>
    <row r="26">
      <c r="A26" s="15" t="n">
        <v>22</v>
      </c>
      <c r="B26" s="11" t="n"/>
      <c r="C26" s="11" t="n"/>
      <c r="D26" s="21" t="n"/>
      <c r="E26" s="11" t="n"/>
      <c r="F26" s="21" t="n"/>
      <c r="G26" s="21" t="n"/>
      <c r="H26" s="11" t="n"/>
      <c r="I26" s="21" t="n"/>
      <c r="J26" s="11" t="n"/>
      <c r="K26" s="11" t="n"/>
      <c r="L26" s="15">
        <f>IF(I26&lt;&gt;"Так","",IF(J26="","Оберіть захід",IF(K26="","Вкажіть, де в мережі",IF(D26="","Оберіть літеру STRIDE",IF(F26="","Вкажіть природу",IF(AND(INDEX('В08 Каталог'!$C$5:$C$19,MATCH(J26,'В08 Каталог'!$B$5:$B$19,0))="Лабораторна",F26="фізична",INDEX('В08 Каталог'!$A$5:$A$19,MATCH(J26,'В08 Каталог'!$B$5:$B$19,0))&lt;&gt;"L10"),"Мережевий захід не закриває фізичну загрозу",IF(AND(INDEX('В08 Каталог'!$C$5:$C$19,MATCH(J26,'В08 Каталог'!$B$5:$B$19,0))="Лабораторна",ISERROR(SEARCH(LEFT(D26,1),INDEX('В08 Каталог'!$D$5:$D$19,MATCH(J26,'В08 Каталог'!$B$5:$B$19,0))))),"Захід не діє на цей тип загрози",IF(AND(INDEX('В08 Каталог'!$C$5:$C$19,MATCH(J26,'В08 Каталог'!$B$5:$B$19,0))="Поза курсом",F26="мережева"),"Для мережевої загрози потрібен захід з лабораторних","ОК"))))))))</f>
        <v/>
      </c>
      <c r="M26" s="22">
        <f>IF(J26="","",IFERROR(INDEX('В08 Каталог'!$E$5:$E$19,MATCH(J26,'В08 Каталог'!$B$5:$B$19,0)),""))</f>
        <v/>
      </c>
      <c r="N26" s="22">
        <f>IF(J26="","",IFERROR(INDEX('В08 Каталог'!$C$5:$C$19,MATCH(J26,'В08 Каталог'!$B$5:$B$19,0)),""))</f>
        <v/>
      </c>
      <c r="O26" s="21" t="n"/>
    </row>
    <row r="27">
      <c r="A27" s="15" t="n">
        <v>23</v>
      </c>
      <c r="B27" s="11" t="n"/>
      <c r="C27" s="11" t="n"/>
      <c r="D27" s="21" t="n"/>
      <c r="E27" s="11" t="n"/>
      <c r="F27" s="21" t="n"/>
      <c r="G27" s="21" t="n"/>
      <c r="H27" s="11" t="n"/>
      <c r="I27" s="21" t="n"/>
      <c r="J27" s="11" t="n"/>
      <c r="K27" s="11" t="n"/>
      <c r="L27" s="15">
        <f>IF(I27&lt;&gt;"Так","",IF(J27="","Оберіть захід",IF(K27="","Вкажіть, де в мережі",IF(D27="","Оберіть літеру STRIDE",IF(F27="","Вкажіть природу",IF(AND(INDEX('В08 Каталог'!$C$5:$C$19,MATCH(J27,'В08 Каталог'!$B$5:$B$19,0))="Лабораторна",F27="фізична",INDEX('В08 Каталог'!$A$5:$A$19,MATCH(J27,'В08 Каталог'!$B$5:$B$19,0))&lt;&gt;"L10"),"Мережевий захід не закриває фізичну загрозу",IF(AND(INDEX('В08 Каталог'!$C$5:$C$19,MATCH(J27,'В08 Каталог'!$B$5:$B$19,0))="Лабораторна",ISERROR(SEARCH(LEFT(D27,1),INDEX('В08 Каталог'!$D$5:$D$19,MATCH(J27,'В08 Каталог'!$B$5:$B$19,0))))),"Захід не діє на цей тип загрози",IF(AND(INDEX('В08 Каталог'!$C$5:$C$19,MATCH(J27,'В08 Каталог'!$B$5:$B$19,0))="Поза курсом",F27="мережева"),"Для мережевої загрози потрібен захід з лабораторних","ОК"))))))))</f>
        <v/>
      </c>
      <c r="M27" s="22">
        <f>IF(J27="","",IFERROR(INDEX('В08 Каталог'!$E$5:$E$19,MATCH(J27,'В08 Каталог'!$B$5:$B$19,0)),""))</f>
        <v/>
      </c>
      <c r="N27" s="22">
        <f>IF(J27="","",IFERROR(INDEX('В08 Каталог'!$C$5:$C$19,MATCH(J27,'В08 Каталог'!$B$5:$B$19,0)),""))</f>
        <v/>
      </c>
      <c r="O27" s="21" t="n"/>
    </row>
    <row r="28">
      <c r="A28" s="15" t="n">
        <v>24</v>
      </c>
      <c r="B28" s="11" t="n"/>
      <c r="C28" s="11" t="n"/>
      <c r="D28" s="21" t="n"/>
      <c r="E28" s="11" t="n"/>
      <c r="F28" s="21" t="n"/>
      <c r="G28" s="21" t="n"/>
      <c r="H28" s="11" t="n"/>
      <c r="I28" s="21" t="n"/>
      <c r="J28" s="11" t="n"/>
      <c r="K28" s="11" t="n"/>
      <c r="L28" s="15">
        <f>IF(I28&lt;&gt;"Так","",IF(J28="","Оберіть захід",IF(K28="","Вкажіть, де в мережі",IF(D28="","Оберіть літеру STRIDE",IF(F28="","Вкажіть природу",IF(AND(INDEX('В08 Каталог'!$C$5:$C$19,MATCH(J28,'В08 Каталог'!$B$5:$B$19,0))="Лабораторна",F28="фізична",INDEX('В08 Каталог'!$A$5:$A$19,MATCH(J28,'В08 Каталог'!$B$5:$B$19,0))&lt;&gt;"L10"),"Мережевий захід не закриває фізичну загрозу",IF(AND(INDEX('В08 Каталог'!$C$5:$C$19,MATCH(J28,'В08 Каталог'!$B$5:$B$19,0))="Лабораторна",ISERROR(SEARCH(LEFT(D28,1),INDEX('В08 Каталог'!$D$5:$D$19,MATCH(J28,'В08 Каталог'!$B$5:$B$19,0))))),"Захід не діє на цей тип загрози",IF(AND(INDEX('В08 Каталог'!$C$5:$C$19,MATCH(J28,'В08 Каталог'!$B$5:$B$19,0))="Поза курсом",F28="мережева"),"Для мережевої загрози потрібен захід з лабораторних","ОК"))))))))</f>
        <v/>
      </c>
      <c r="M28" s="22">
        <f>IF(J28="","",IFERROR(INDEX('В08 Каталог'!$E$5:$E$19,MATCH(J28,'В08 Каталог'!$B$5:$B$19,0)),""))</f>
        <v/>
      </c>
      <c r="N28" s="22">
        <f>IF(J28="","",IFERROR(INDEX('В08 Каталог'!$C$5:$C$19,MATCH(J28,'В08 Каталог'!$B$5:$B$19,0)),""))</f>
        <v/>
      </c>
      <c r="O28" s="21" t="n"/>
    </row>
    <row r="29">
      <c r="A29" s="15" t="n">
        <v>25</v>
      </c>
      <c r="B29" s="11" t="n"/>
      <c r="C29" s="11" t="n"/>
      <c r="D29" s="21" t="n"/>
      <c r="E29" s="11" t="n"/>
      <c r="F29" s="21" t="n"/>
      <c r="G29" s="21" t="n"/>
      <c r="H29" s="11" t="n"/>
      <c r="I29" s="21" t="n"/>
      <c r="J29" s="11" t="n"/>
      <c r="K29" s="11" t="n"/>
      <c r="L29" s="15">
        <f>IF(I29&lt;&gt;"Так","",IF(J29="","Оберіть захід",IF(K29="","Вкажіть, де в мережі",IF(D29="","Оберіть літеру STRIDE",IF(F29="","Вкажіть природу",IF(AND(INDEX('В08 Каталог'!$C$5:$C$19,MATCH(J29,'В08 Каталог'!$B$5:$B$19,0))="Лабораторна",F29="фізична",INDEX('В08 Каталог'!$A$5:$A$19,MATCH(J29,'В08 Каталог'!$B$5:$B$19,0))&lt;&gt;"L10"),"Мережевий захід не закриває фізичну загрозу",IF(AND(INDEX('В08 Каталог'!$C$5:$C$19,MATCH(J29,'В08 Каталог'!$B$5:$B$19,0))="Лабораторна",ISERROR(SEARCH(LEFT(D29,1),INDEX('В08 Каталог'!$D$5:$D$19,MATCH(J29,'В08 Каталог'!$B$5:$B$19,0))))),"Захід не діє на цей тип загрози",IF(AND(INDEX('В08 Каталог'!$C$5:$C$19,MATCH(J29,'В08 Каталог'!$B$5:$B$19,0))="Поза курсом",F29="мережева"),"Для мережевої загрози потрібен захід з лабораторних","ОК"))))))))</f>
        <v/>
      </c>
      <c r="M29" s="22">
        <f>IF(J29="","",IFERROR(INDEX('В08 Каталог'!$E$5:$E$19,MATCH(J29,'В08 Каталог'!$B$5:$B$19,0)),""))</f>
        <v/>
      </c>
      <c r="N29" s="22">
        <f>IF(J29="","",IFERROR(INDEX('В08 Каталог'!$C$5:$C$19,MATCH(J29,'В08 Каталог'!$B$5:$B$19,0)),""))</f>
        <v/>
      </c>
      <c r="O29" s="21" t="n"/>
    </row>
    <row r="30">
      <c r="A30" s="15" t="n">
        <v>26</v>
      </c>
      <c r="B30" s="11" t="n"/>
      <c r="C30" s="11" t="n"/>
      <c r="D30" s="21" t="n"/>
      <c r="E30" s="11" t="n"/>
      <c r="F30" s="21" t="n"/>
      <c r="G30" s="21" t="n"/>
      <c r="H30" s="11" t="n"/>
      <c r="I30" s="21" t="n"/>
      <c r="J30" s="11" t="n"/>
      <c r="K30" s="11" t="n"/>
      <c r="L30" s="15">
        <f>IF(I30&lt;&gt;"Так","",IF(J30="","Оберіть захід",IF(K30="","Вкажіть, де в мережі",IF(D30="","Оберіть літеру STRIDE",IF(F30="","Вкажіть природу",IF(AND(INDEX('В08 Каталог'!$C$5:$C$19,MATCH(J30,'В08 Каталог'!$B$5:$B$19,0))="Лабораторна",F30="фізична",INDEX('В08 Каталог'!$A$5:$A$19,MATCH(J30,'В08 Каталог'!$B$5:$B$19,0))&lt;&gt;"L10"),"Мережевий захід не закриває фізичну загрозу",IF(AND(INDEX('В08 Каталог'!$C$5:$C$19,MATCH(J30,'В08 Каталог'!$B$5:$B$19,0))="Лабораторна",ISERROR(SEARCH(LEFT(D30,1),INDEX('В08 Каталог'!$D$5:$D$19,MATCH(J30,'В08 Каталог'!$B$5:$B$19,0))))),"Захід не діє на цей тип загрози",IF(AND(INDEX('В08 Каталог'!$C$5:$C$19,MATCH(J30,'В08 Каталог'!$B$5:$B$19,0))="Поза курсом",F30="мережева"),"Для мережевої загрози потрібен захід з лабораторних","ОК"))))))))</f>
        <v/>
      </c>
      <c r="M30" s="22">
        <f>IF(J30="","",IFERROR(INDEX('В08 Каталог'!$E$5:$E$19,MATCH(J30,'В08 Каталог'!$B$5:$B$19,0)),""))</f>
        <v/>
      </c>
      <c r="N30" s="22">
        <f>IF(J30="","",IFERROR(INDEX('В08 Каталог'!$C$5:$C$19,MATCH(J30,'В08 Каталог'!$B$5:$B$19,0)),""))</f>
        <v/>
      </c>
      <c r="O30" s="21" t="n"/>
    </row>
    <row r="31">
      <c r="A31" s="15" t="n">
        <v>27</v>
      </c>
      <c r="B31" s="11" t="n"/>
      <c r="C31" s="11" t="n"/>
      <c r="D31" s="21" t="n"/>
      <c r="E31" s="11" t="n"/>
      <c r="F31" s="21" t="n"/>
      <c r="G31" s="21" t="n"/>
      <c r="H31" s="11" t="n"/>
      <c r="I31" s="21" t="n"/>
      <c r="J31" s="11" t="n"/>
      <c r="K31" s="11" t="n"/>
      <c r="L31" s="15">
        <f>IF(I31&lt;&gt;"Так","",IF(J31="","Оберіть захід",IF(K31="","Вкажіть, де в мережі",IF(D31="","Оберіть літеру STRIDE",IF(F31="","Вкажіть природу",IF(AND(INDEX('В08 Каталог'!$C$5:$C$19,MATCH(J31,'В08 Каталог'!$B$5:$B$19,0))="Лабораторна",F31="фізична",INDEX('В08 Каталог'!$A$5:$A$19,MATCH(J31,'В08 Каталог'!$B$5:$B$19,0))&lt;&gt;"L10"),"Мережевий захід не закриває фізичну загрозу",IF(AND(INDEX('В08 Каталог'!$C$5:$C$19,MATCH(J31,'В08 Каталог'!$B$5:$B$19,0))="Лабораторна",ISERROR(SEARCH(LEFT(D31,1),INDEX('В08 Каталог'!$D$5:$D$19,MATCH(J31,'В08 Каталог'!$B$5:$B$19,0))))),"Захід не діє на цей тип загрози",IF(AND(INDEX('В08 Каталог'!$C$5:$C$19,MATCH(J31,'В08 Каталог'!$B$5:$B$19,0))="Поза курсом",F31="мережева"),"Для мережевої загрози потрібен захід з лабораторних","ОК"))))))))</f>
        <v/>
      </c>
      <c r="M31" s="22">
        <f>IF(J31="","",IFERROR(INDEX('В08 Каталог'!$E$5:$E$19,MATCH(J31,'В08 Каталог'!$B$5:$B$19,0)),""))</f>
        <v/>
      </c>
      <c r="N31" s="22">
        <f>IF(J31="","",IFERROR(INDEX('В08 Каталог'!$C$5:$C$19,MATCH(J31,'В08 Каталог'!$B$5:$B$19,0)),""))</f>
        <v/>
      </c>
      <c r="O31" s="21" t="n"/>
    </row>
    <row r="32">
      <c r="A32" s="15" t="n">
        <v>28</v>
      </c>
      <c r="B32" s="11" t="n"/>
      <c r="C32" s="11" t="n"/>
      <c r="D32" s="21" t="n"/>
      <c r="E32" s="11" t="n"/>
      <c r="F32" s="21" t="n"/>
      <c r="G32" s="21" t="n"/>
      <c r="H32" s="11" t="n"/>
      <c r="I32" s="21" t="n"/>
      <c r="J32" s="11" t="n"/>
      <c r="K32" s="11" t="n"/>
      <c r="L32" s="15">
        <f>IF(I32&lt;&gt;"Так","",IF(J32="","Оберіть захід",IF(K32="","Вкажіть, де в мережі",IF(D32="","Оберіть літеру STRIDE",IF(F32="","Вкажіть природу",IF(AND(INDEX('В08 Каталог'!$C$5:$C$19,MATCH(J32,'В08 Каталог'!$B$5:$B$19,0))="Лабораторна",F32="фізична",INDEX('В08 Каталог'!$A$5:$A$19,MATCH(J32,'В08 Каталог'!$B$5:$B$19,0))&lt;&gt;"L10"),"Мережевий захід не закриває фізичну загрозу",IF(AND(INDEX('В08 Каталог'!$C$5:$C$19,MATCH(J32,'В08 Каталог'!$B$5:$B$19,0))="Лабораторна",ISERROR(SEARCH(LEFT(D32,1),INDEX('В08 Каталог'!$D$5:$D$19,MATCH(J32,'В08 Каталог'!$B$5:$B$19,0))))),"Захід не діє на цей тип загрози",IF(AND(INDEX('В08 Каталог'!$C$5:$C$19,MATCH(J32,'В08 Каталог'!$B$5:$B$19,0))="Поза курсом",F32="мережева"),"Для мережевої загрози потрібен захід з лабораторних","ОК"))))))))</f>
        <v/>
      </c>
      <c r="M32" s="22">
        <f>IF(J32="","",IFERROR(INDEX('В08 Каталог'!$E$5:$E$19,MATCH(J32,'В08 Каталог'!$B$5:$B$19,0)),""))</f>
        <v/>
      </c>
      <c r="N32" s="22">
        <f>IF(J32="","",IFERROR(INDEX('В08 Каталог'!$C$5:$C$19,MATCH(J32,'В08 Каталог'!$B$5:$B$19,0)),""))</f>
        <v/>
      </c>
      <c r="O32" s="21" t="n"/>
    </row>
    <row r="33">
      <c r="A33" s="15" t="n">
        <v>29</v>
      </c>
      <c r="B33" s="11" t="n"/>
      <c r="C33" s="11" t="n"/>
      <c r="D33" s="21" t="n"/>
      <c r="E33" s="11" t="n"/>
      <c r="F33" s="21" t="n"/>
      <c r="G33" s="21" t="n"/>
      <c r="H33" s="11" t="n"/>
      <c r="I33" s="21" t="n"/>
      <c r="J33" s="11" t="n"/>
      <c r="K33" s="11" t="n"/>
      <c r="L33" s="15">
        <f>IF(I33&lt;&gt;"Так","",IF(J33="","Оберіть захід",IF(K33="","Вкажіть, де в мережі",IF(D33="","Оберіть літеру STRIDE",IF(F33="","Вкажіть природу",IF(AND(INDEX('В08 Каталог'!$C$5:$C$19,MATCH(J33,'В08 Каталог'!$B$5:$B$19,0))="Лабораторна",F33="фізична",INDEX('В08 Каталог'!$A$5:$A$19,MATCH(J33,'В08 Каталог'!$B$5:$B$19,0))&lt;&gt;"L10"),"Мережевий захід не закриває фізичну загрозу",IF(AND(INDEX('В08 Каталог'!$C$5:$C$19,MATCH(J33,'В08 Каталог'!$B$5:$B$19,0))="Лабораторна",ISERROR(SEARCH(LEFT(D33,1),INDEX('В08 Каталог'!$D$5:$D$19,MATCH(J33,'В08 Каталог'!$B$5:$B$19,0))))),"Захід не діє на цей тип загрози",IF(AND(INDEX('В08 Каталог'!$C$5:$C$19,MATCH(J33,'В08 Каталог'!$B$5:$B$19,0))="Поза курсом",F33="мережева"),"Для мережевої загрози потрібен захід з лабораторних","ОК"))))))))</f>
        <v/>
      </c>
      <c r="M33" s="22">
        <f>IF(J33="","",IFERROR(INDEX('В08 Каталог'!$E$5:$E$19,MATCH(J33,'В08 Каталог'!$B$5:$B$19,0)),""))</f>
        <v/>
      </c>
      <c r="N33" s="22">
        <f>IF(J33="","",IFERROR(INDEX('В08 Каталог'!$C$5:$C$19,MATCH(J33,'В08 Каталог'!$B$5:$B$19,0)),""))</f>
        <v/>
      </c>
      <c r="O33" s="21" t="n"/>
    </row>
    <row r="34">
      <c r="A34" s="15" t="n">
        <v>30</v>
      </c>
      <c r="B34" s="11" t="n"/>
      <c r="C34" s="11" t="n"/>
      <c r="D34" s="21" t="n"/>
      <c r="E34" s="11" t="n"/>
      <c r="F34" s="21" t="n"/>
      <c r="G34" s="21" t="n"/>
      <c r="H34" s="11" t="n"/>
      <c r="I34" s="21" t="n"/>
      <c r="J34" s="11" t="n"/>
      <c r="K34" s="11" t="n"/>
      <c r="L34" s="15">
        <f>IF(I34&lt;&gt;"Так","",IF(J34="","Оберіть захід",IF(K34="","Вкажіть, де в мережі",IF(D34="","Оберіть літеру STRIDE",IF(F34="","Вкажіть природу",IF(AND(INDEX('В08 Каталог'!$C$5:$C$19,MATCH(J34,'В08 Каталог'!$B$5:$B$19,0))="Лабораторна",F34="фізична",INDEX('В08 Каталог'!$A$5:$A$19,MATCH(J34,'В08 Каталог'!$B$5:$B$19,0))&lt;&gt;"L10"),"Мережевий захід не закриває фізичну загрозу",IF(AND(INDEX('В08 Каталог'!$C$5:$C$19,MATCH(J34,'В08 Каталог'!$B$5:$B$19,0))="Лабораторна",ISERROR(SEARCH(LEFT(D34,1),INDEX('В08 Каталог'!$D$5:$D$19,MATCH(J34,'В08 Каталог'!$B$5:$B$19,0))))),"Захід не діє на цей тип загрози",IF(AND(INDEX('В08 Каталог'!$C$5:$C$19,MATCH(J34,'В08 Каталог'!$B$5:$B$19,0))="Поза курсом",F34="мережева"),"Для мережевої загрози потрібен захід з лабораторних","ОК"))))))))</f>
        <v/>
      </c>
      <c r="M34" s="22">
        <f>IF(J34="","",IFERROR(INDEX('В08 Каталог'!$E$5:$E$19,MATCH(J34,'В08 Каталог'!$B$5:$B$19,0)),""))</f>
        <v/>
      </c>
      <c r="N34" s="22">
        <f>IF(J34="","",IFERROR(INDEX('В08 Каталог'!$C$5:$C$19,MATCH(J34,'В08 Каталог'!$B$5:$B$19,0)),""))</f>
        <v/>
      </c>
      <c r="O34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L5:L34">
    <cfRule type="expression" priority="1" dxfId="0">
      <formula>AND(L5&lt;&gt;"",L5&lt;&gt;"ОК")</formula>
    </cfRule>
  </conditionalFormatting>
  <conditionalFormatting sqref="G5:G34">
    <cfRule type="cellIs" priority="2" operator="equal" dxfId="1">
      <formula>3</formula>
    </cfRule>
    <cfRule type="cellIs" priority="3" operator="equal" dxfId="2">
      <formula>2</formula>
    </cfRule>
    <cfRule type="cellIs" priority="4" operator="equal" dxfId="3">
      <formula>1</formula>
    </cfRule>
  </conditionalFormatting>
  <dataValidations count="7">
    <dataValidation sqref="B5:B34" showDropDown="0" showInputMessage="0" showErrorMessage="0" allowBlank="1" type="list">
      <formula1>='В08 Картка'!$C$13:$C$19</formula1>
    </dataValidation>
    <dataValidation sqref="D5:D34" showDropDown="0" showInputMessage="0" showErrorMessage="0" allowBlank="1" type="list">
      <formula1>"S — підміна,T — зміна даних,R — відмова від дій,I — витік,D — відмова в обслуговуванні,E — підвищення прав"</formula1>
    </dataValidation>
    <dataValidation sqref="F5:F34" showDropDown="0" showInputMessage="0" showErrorMessage="0" allowBlank="1" type="list">
      <formula1>"мережева,фізична,організаційна"</formula1>
    </dataValidation>
    <dataValidation sqref="G5:G34" showDropDown="0" showInputMessage="0" showErrorMessage="0" allowBlank="1" type="whole" operator="between">
      <formula1>1</formula1>
      <formula2>3</formula2>
    </dataValidation>
    <dataValidation sqref="H5:H34" showDropDown="0" showInputMessage="0" showErrorMessage="0" allowBlank="1" type="list">
      <formula1>"Соціальна інженерія,Фізичний доступ,Шахрайство з картками,Мережа/ІТ,Живлення і зв'язок,Персонал і процеси"</formula1>
    </dataValidation>
    <dataValidation sqref="I5:I34" showDropDown="0" showInputMessage="0" showErrorMessage="0" allowBlank="1" type="list">
      <formula1>"Так"</formula1>
    </dataValidation>
    <dataValidation sqref="J5:J34" showDropDown="0" showInputMessage="0" showErrorMessage="0" allowBlank="1" type="list">
      <formula1>='В08 Каталог'!$B$5:$B$19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7D7B"/>
    <outlinePr summaryBelow="1" summaryRight="1"/>
    <pageSetUpPr/>
  </sheetPr>
  <dimension ref="A1:C2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4" customWidth="1" min="3" max="3"/>
  </cols>
  <sheetData>
    <row r="1">
      <c r="A1" s="5" t="inlineStr">
        <is>
          <t>Підсумок і самоперевірка</t>
        </is>
      </c>
    </row>
    <row r="4">
      <c r="A4" s="23" t="inlineStr">
        <is>
          <t>Загроз у таблиці</t>
        </is>
      </c>
      <c r="B4" s="24">
        <f>COUNTA('В08 Загрози і заходи'!E5:E34)</f>
        <v/>
      </c>
      <c r="C4" s="24">
        <f>IF(B4&gt;=12,"достатньо","потрібно щонайменше 12")</f>
        <v/>
      </c>
    </row>
    <row r="5">
      <c r="A5" s="23" t="inlineStr">
        <is>
          <t>Загроз на межі M1</t>
        </is>
      </c>
      <c r="B5" s="24">
        <f>COUNTIF('В08 Загрози і заходи'!B5:B34,"M1*")</f>
        <v/>
      </c>
      <c r="C5" s="24">
        <f>IF(B5&gt;=1,"є","немає: поверніться до питання 2")</f>
        <v/>
      </c>
    </row>
    <row r="6">
      <c r="A6" s="23" t="inlineStr">
        <is>
          <t>Загроз на межі M2</t>
        </is>
      </c>
      <c r="B6" s="24">
        <f>COUNTIF('В08 Загрози і заходи'!B5:B34,"M2*")</f>
        <v/>
      </c>
      <c r="C6" s="24">
        <f>IF(B6&gt;=1,"є","немає: поверніться до питання 2")</f>
        <v/>
      </c>
    </row>
    <row r="7">
      <c r="A7" s="23" t="inlineStr">
        <is>
          <t>Загроз на межі M3</t>
        </is>
      </c>
      <c r="B7" s="24">
        <f>COUNTIF('В08 Загрози і заходи'!B5:B34,"M3*")</f>
        <v/>
      </c>
      <c r="C7" s="24">
        <f>IF(B7&gt;=1,"є","немає: поверніться до питання 2")</f>
        <v/>
      </c>
    </row>
    <row r="8">
      <c r="A8" s="23" t="inlineStr">
        <is>
          <t>Загроз на межі M4</t>
        </is>
      </c>
      <c r="B8" s="24">
        <f>COUNTIF('В08 Загрози і заходи'!B5:B34,"M4*")</f>
        <v/>
      </c>
      <c r="C8" s="24">
        <f>IF(B8&gt;=1,"є","немає: поверніться до питання 2")</f>
        <v/>
      </c>
    </row>
    <row r="9">
      <c r="A9" s="23" t="inlineStr">
        <is>
          <t>Загроз на межі M5</t>
        </is>
      </c>
      <c r="B9" s="24">
        <f>COUNTIF('В08 Загрози і заходи'!B5:B34,"M5*")</f>
        <v/>
      </c>
      <c r="C9" s="24">
        <f>IF(B9&gt;=1,"є","немає: поверніться до питання 2")</f>
        <v/>
      </c>
    </row>
    <row r="10">
      <c r="A10" s="23" t="inlineStr">
        <is>
          <t>Загроз на межі M6</t>
        </is>
      </c>
      <c r="B10" s="24">
        <f>COUNTIF('В08 Загрози і заходи'!B5:B34,"M6*")</f>
        <v/>
      </c>
      <c r="C10" s="24">
        <f>IF(B10&gt;=1,"є","немає: поверніться до питання 2")</f>
        <v/>
      </c>
    </row>
    <row r="11">
      <c r="A11" s="23" t="inlineStr">
        <is>
          <t>Загроз типу S</t>
        </is>
      </c>
      <c r="B11" s="24">
        <f>COUNTIF('В08 Загрози і заходи'!D5:D34,"S —*")</f>
        <v/>
      </c>
      <c r="C11" s="24">
        <f>IF(B11&gt;=1,"є","немає: подумайте, які загрози типу S є на шляху")</f>
        <v/>
      </c>
    </row>
    <row r="12">
      <c r="A12" s="23" t="inlineStr">
        <is>
          <t>Загроз типу T</t>
        </is>
      </c>
      <c r="B12" s="24">
        <f>COUNTIF('В08 Загрози і заходи'!D5:D34,"T —*")</f>
        <v/>
      </c>
      <c r="C12" s="24">
        <f>IF(B12&gt;=1,"є","немає: подумайте, які загрози типу T є на шляху")</f>
        <v/>
      </c>
    </row>
    <row r="13">
      <c r="A13" s="23" t="inlineStr">
        <is>
          <t>Загроз типу R</t>
        </is>
      </c>
      <c r="B13" s="24">
        <f>COUNTIF('В08 Загрози і заходи'!D5:D34,"R —*")</f>
        <v/>
      </c>
      <c r="C13" s="24">
        <f>IF(B13&gt;=1,"є","немає: подумайте, які загрози типу R є на шляху")</f>
        <v/>
      </c>
    </row>
    <row r="14">
      <c r="A14" s="23" t="inlineStr">
        <is>
          <t>Загроз типу I</t>
        </is>
      </c>
      <c r="B14" s="24">
        <f>COUNTIF('В08 Загрози і заходи'!D5:D34,"I —*")</f>
        <v/>
      </c>
      <c r="C14" s="24">
        <f>IF(B14&gt;=1,"є","немає: подумайте, які загрози типу I є на шляху")</f>
        <v/>
      </c>
    </row>
    <row r="15">
      <c r="A15" s="23" t="inlineStr">
        <is>
          <t>Загроз типу D</t>
        </is>
      </c>
      <c r="B15" s="24">
        <f>COUNTIF('В08 Загрози і заходи'!D5:D34,"D —*")</f>
        <v/>
      </c>
      <c r="C15" s="24">
        <f>IF(B15&gt;=1,"є","немає: подумайте, які загрози типу D є на шляху")</f>
        <v/>
      </c>
    </row>
    <row r="16">
      <c r="A16" s="23" t="inlineStr">
        <is>
          <t>Загроз типу E</t>
        </is>
      </c>
      <c r="B16" s="24">
        <f>COUNTIF('В08 Загрози і заходи'!D5:D34,"E —*")</f>
        <v/>
      </c>
      <c r="C16" s="24">
        <f>IF(B16&gt;=1,"є","немає: подумайте, які загрози типу E є на шляху")</f>
        <v/>
      </c>
    </row>
    <row r="17">
      <c r="A17" s="23" t="inlineStr">
        <is>
          <t>Позначено «Топ-8»</t>
        </is>
      </c>
      <c r="B17" s="24">
        <f>COUNTIF('В08 Загрози і заходи'!I5:I34,"Так")</f>
        <v/>
      </c>
      <c r="C17" s="24">
        <f>IF(B17=8,"рівно 8","має бути рівно 8")</f>
        <v/>
      </c>
    </row>
    <row r="18">
      <c r="A18" s="23" t="inlineStr">
        <is>
          <t>Топ-8: що не так у перевірці</t>
        </is>
      </c>
      <c r="B18" s="24">
        <f>SUMPRODUCT(('В08 Загрози і заходи'!I5:I34="Так")*('В08 Загрози і заходи'!L5:L34&lt;&gt;"ОК"))</f>
        <v/>
      </c>
      <c r="C18" s="24">
        <f>IF(B18=0,"усе узгоджено","дивіться колонку «Перевірка»")</f>
        <v/>
      </c>
    </row>
    <row r="19">
      <c r="A19" s="23" t="inlineStr">
        <is>
          <t>З топ-8 не закриваються мережею (поза курсом)</t>
        </is>
      </c>
      <c r="B19" s="24">
        <f>COUNTIFS('В08 Загрози і заходи'!I5:I34,"Так",'В08 Загрози і заходи'!N5:N34,"Поза курсом")</f>
        <v/>
      </c>
      <c r="C19" s="24" t="inlineStr">
        <is>
          <t>це нормально, якщо загроза фізична чи організаційна</t>
        </is>
      </c>
    </row>
    <row r="20">
      <c r="A20" s="23" t="inlineStr">
        <is>
          <t>Нових загроз на межі M7 (після інжекту)</t>
        </is>
      </c>
      <c r="B20" s="24">
        <f>COUNTIF('В08 Загрози і заходи'!B5:B34,"M7*")</f>
        <v/>
      </c>
      <c r="C20" s="24">
        <f>IF(B20&gt;=2,"достатньо","потрібно щонайменше 2")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7D7B"/>
    <outlinePr summaryBelow="1" summaryRight="1"/>
    <pageSetUpPr/>
  </sheetPr>
  <dimension ref="A1:D13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  <col width="62" customWidth="1" min="4" max="4"/>
  </cols>
  <sheetData>
    <row r="1">
      <c r="A1" s="5" t="inlineStr">
        <is>
          <t>Обґрунтування вибору</t>
        </is>
      </c>
    </row>
    <row r="2">
      <c r="A2" s="6" t="inlineStr">
        <is>
          <t>Пишіть власні пояснення для 2–3 загроз із топ-8 своїми словами (2–3 речення). Викладач може попросити пояснити їх усно.</t>
        </is>
      </c>
    </row>
    <row r="4" ht="44" customHeight="1">
      <c r="A4" s="16" t="inlineStr">
        <is>
          <t>Хто (А/Б, прізвище)</t>
        </is>
      </c>
      <c r="B4" s="16" t="inlineStr">
        <is>
          <t>№ загрози</t>
        </is>
      </c>
      <c r="C4" s="16" t="inlineStr">
        <is>
          <t>Чому така серйозність і чому саме ця межа</t>
        </is>
      </c>
      <c r="D4" s="16" t="inlineStr">
        <is>
          <t>Чому саме цей захід (і чому не інший), де він стоїть</t>
        </is>
      </c>
    </row>
    <row r="5" ht="70" customHeight="1">
      <c r="A5" s="11" t="inlineStr">
        <is>
          <t>Кравченко</t>
        </is>
      </c>
      <c r="B5" s="11" t="n">
        <v>3</v>
      </c>
      <c r="C5" s="11" t="inlineStr">
        <is>
          <t>Серйозність 3: підмінений «POS» може надсилати фальшиві операції масово. Межа M2, бо саме радіоефір у залі — найдоступніше місце для сторонніх, а пароль Wi-Fi спільний.</t>
        </is>
      </c>
      <c r="D5" s="11" t="inlineStr">
        <is>
          <t>L8 (окремий VLAN і WPA2-Enterprise) працює на точках доступу: без сертифіката пристрій не потрапить у VLAN POS. Port Security (L2) не допоможе — він для дротових портів.</t>
        </is>
      </c>
    </row>
    <row r="6" ht="70" customHeight="1">
      <c r="A6" s="11" t="inlineStr">
        <is>
          <t>Кравченко</t>
        </is>
      </c>
      <c r="B6" s="11" t="n">
        <v>15</v>
      </c>
      <c r="C6" s="11" t="inlineStr">
        <is>
          <t>Серйозність 3: підрядник адмініструє все мережеве обладнання, а спільний пароль після договору — це повний контроль над мережею відділення. Межа M6 — особливий учасник В08.</t>
        </is>
      </c>
      <c r="D6" s="11" t="inlineStr">
        <is>
          <t>L9: персональні облікові записи через RADIUS і лише SSH. Пароль не потрібно «забирати» в людини — досить вимкнути його обліковий запис. Договір (O2) цього не забезпечує технічно.</t>
        </is>
      </c>
    </row>
    <row r="7" ht="70" customHeight="1">
      <c r="A7" s="11" t="inlineStr">
        <is>
          <t>Кравченко</t>
        </is>
      </c>
      <c r="B7" s="11" t="n">
        <v>1</v>
      </c>
      <c r="C7" s="11" t="inlineStr">
        <is>
          <t>Серйозність 3: скімер на касі копіює картки всіх клієнтів дня. Межа M1 — між карткою і POS.</t>
        </is>
      </c>
      <c r="D7" s="11" t="inlineStr">
        <is>
          <t>Загроза фізична, тому мережа тут безсила — обрано «Поза курсом» (пломби й огляд). Мережевий захід перевірка правильно відхиляє.</t>
        </is>
      </c>
    </row>
    <row r="8" ht="70" customHeight="1">
      <c r="A8" s="11" t="n"/>
      <c r="B8" s="11" t="n"/>
      <c r="C8" s="11" t="n"/>
      <c r="D8" s="11" t="n"/>
    </row>
    <row r="9" ht="70" customHeight="1">
      <c r="A9" s="11" t="n"/>
      <c r="B9" s="11" t="n"/>
      <c r="C9" s="11" t="n"/>
      <c r="D9" s="11" t="n"/>
    </row>
    <row r="10" ht="70" customHeight="1">
      <c r="A10" s="11" t="n"/>
      <c r="B10" s="11" t="n"/>
      <c r="C10" s="11" t="n"/>
      <c r="D10" s="11" t="n"/>
    </row>
    <row r="12">
      <c r="A12" s="14" t="inlineStr">
        <is>
          <t>Нова обставина: що сказано у файлі «Нова обставина» і що саме ви змінили (межа M7, нові рядки, зміни у схемі):</t>
        </is>
      </c>
    </row>
    <row r="13" ht="80" customHeight="1">
      <c r="A13" s="11" t="inlineStr">
        <is>
          <t>КРОК 4 НЕ ВИКОНАНО: файл «ПР_2_Нова_обставина_Варіант_08» видає викладач у Teams після кроків 1–3; межу M7, нові загрози й слайд 2 буде додано після його отримання.</t>
        </is>
      </c>
      <c r="B13" s="19" t="n"/>
      <c r="C13" s="19" t="n"/>
      <c r="D13" s="2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2026-10-20T08:52:16Z</dcterms:created>
  <dcterms:modified xmlns:dcterms="http://purl.org/dc/terms/" xmlns:xsi="http://www.w3.org/2001/XMLSchema-instance" xsi:type="dcterms:W3CDTF">2026-10-24T07:55:49Z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0x010100515EA09E6D44F04384841D5FBD71E5CF</vt:lpwstr>
  </property>
</Properties>
</file>