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08 Інструкція" sheetId="1" state="visible" r:id="rId1"/>
    <sheet xmlns:r="http://schemas.openxmlformats.org/officeDocument/2006/relationships" name="В08 Профіль" sheetId="2" state="visible" r:id="rId2"/>
    <sheet xmlns:r="http://schemas.openxmlformats.org/officeDocument/2006/relationships" name="В08 Каталог" sheetId="3" state="visible" r:id="rId3"/>
    <sheet xmlns:r="http://schemas.openxmlformats.org/officeDocument/2006/relationships" name="В08 Активи" sheetId="4" state="visible" r:id="rId4"/>
    <sheet xmlns:r="http://schemas.openxmlformats.org/officeDocument/2006/relationships" name="В08 Чернетка" sheetId="5" state="visible" r:id="rId5"/>
    <sheet xmlns:r="http://schemas.openxmlformats.org/officeDocument/2006/relationships" name="В08 Ризики" sheetId="6" state="visible" r:id="rId6"/>
    <sheet xmlns:r="http://schemas.openxmlformats.org/officeDocument/2006/relationships" name="В08 Матриця" sheetId="7" state="visible" r:id="rId7"/>
    <sheet xmlns:r="http://schemas.openxmlformats.org/officeDocument/2006/relationships" name="В08 Бюджет" sheetId="8" state="visible" r:id="rId8"/>
    <sheet xmlns:r="http://schemas.openxmlformats.org/officeDocument/2006/relationships" name="В08 Обґрунтування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595959"/>
      <sz val="10"/>
    </font>
    <font>
      <name val="Calibri"/>
      <b val="1"/>
      <color rgb="001F3864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</font>
    <font>
      <name val="Calibri"/>
      <i val="1"/>
      <sz val="9"/>
    </font>
    <font>
      <name val="Calibri"/>
      <b val="1"/>
      <color rgb="001F3864"/>
      <sz val="12"/>
    </font>
    <font>
      <name val="Calibri"/>
      <b val="1"/>
      <sz val="14"/>
    </font>
    <font>
      <name val="Calibri"/>
      <i val="1"/>
      <sz val="10"/>
    </font>
    <font>
      <name val="Calibri"/>
      <b val="1"/>
      <sz val="11"/>
    </font>
    <font>
      <name val="Calibri"/>
      <sz val="11"/>
    </font>
    <font>
      <b val="1"/>
      <color rgb="001F3864"/>
      <sz val="15"/>
    </font>
    <font>
      <i val="1"/>
      <color rgb="00595959"/>
      <sz val="10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F7C80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0" pivotButton="0" quotePrefix="0" xfId="0"/>
    <xf numFmtId="0" fontId="1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2" borderId="1" applyAlignment="1" applyProtection="1" pivotButton="0" quotePrefix="0" xfId="0">
      <alignment vertical="top" wrapText="1"/>
      <protection locked="0" hidden="0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top"/>
      <protection locked="0" hidden="0"/>
    </xf>
    <xf numFmtId="0" fontId="4" fillId="4" borderId="1" applyAlignment="1" pivotButton="0" quotePrefix="0" xfId="0">
      <alignment horizontal="center" vertical="top"/>
    </xf>
    <xf numFmtId="0" fontId="5" fillId="0" borderId="0" pivotButton="0" quotePrefix="0" xfId="0"/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1" pivotButton="0" quotePrefix="0" xfId="0"/>
    <xf numFmtId="0" fontId="13" fillId="2" borderId="1" applyAlignment="1" applyProtection="1" pivotButton="0" quotePrefix="0" xfId="0">
      <alignment horizontal="left"/>
      <protection locked="0" hidden="0"/>
    </xf>
    <xf numFmtId="0" fontId="13" fillId="0" borderId="1" applyAlignment="1" pivotButton="0" quotePrefix="0" xfId="0">
      <alignment horizontal="left"/>
    </xf>
    <xf numFmtId="9" fontId="13" fillId="0" borderId="1" applyAlignment="1" pivotButton="0" quotePrefix="0" xfId="0">
      <alignment horizontal="left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0B4"/>
          <bgColor rgb="00C6E0B4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F4B183"/>
          <bgColor rgb="00F4B183"/>
        </patternFill>
      </fill>
    </dxf>
    <dxf>
      <fill>
        <patternFill patternType="solid">
          <fgColor rgb="00FF7C80"/>
          <bgColor rgb="00FF7C80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7D7B"/>
    <outlinePr summaryBelow="1" summaryRight="1"/>
    <pageSetUpPr/>
  </sheetPr>
  <dimension ref="A1:B16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ПР 1. Оцінка ризиків для відділення «Банку N». Варіант 08</t>
        </is>
      </c>
    </row>
    <row r="2">
      <c r="A2" s="6" t="inlineStr">
        <is>
          <t>Працюйте в жовтих комірках. Сірі комірки рахуються самі (захищені).</t>
        </is>
      </c>
    </row>
    <row r="4">
      <c r="A4" s="7" t="inlineStr">
        <is>
          <t>Порядок роботи</t>
        </is>
      </c>
      <c r="B4" s="8" t="n"/>
    </row>
    <row r="5">
      <c r="A5" s="9" t="inlineStr">
        <is>
          <t>1. Профіль</t>
        </is>
      </c>
      <c r="B5" s="8" t="inlineStr">
        <is>
          <t>Прочитайте аркуш «Профіль»: факти про ваше відділення.</t>
        </is>
      </c>
    </row>
    <row r="6">
      <c r="A6" s="9" t="inlineStr">
        <is>
          <t>2. Активи (питання 1)</t>
        </is>
      </c>
      <c r="B6" s="8" t="inlineStr">
        <is>
          <t>Складіть перелік активів (не менше 10) і оцініть цінність 1–5. Одночасно перегляньте аркуш «Чернетка»: у ній 3 помилки колеги. Запишіть їх у журнал виправлень.</t>
        </is>
      </c>
    </row>
    <row r="7">
      <c r="A7" s="9" t="inlineStr">
        <is>
          <t>3. Ризики (питання 2)</t>
        </is>
      </c>
      <c r="B7" s="8" t="inlineStr">
        <is>
          <t>Для активів запишіть ризики (не менше 12): актив, загроза, вразливість, категорія, ймовірність P та наслідки C за шкалою 1–5. Рівень і зона рахуються самі.</t>
        </is>
      </c>
    </row>
    <row r="8">
      <c r="A8" s="9" t="inlineStr">
        <is>
          <t>4. Матриця й заходи (питання 3)</t>
        </is>
      </c>
      <c r="B8" s="8" t="inlineStr">
        <is>
          <t>Аркуш «Матриця» будується автоматично. Позначте топ-5 ризиків («Так» у колонці «Топ-5»), оберіть стратегію й захід із «Каталогу». Бюджет перевіряється на аркуші «Бюджет».</t>
        </is>
      </c>
    </row>
    <row r="9">
      <c r="A9" s="9" t="inlineStr">
        <is>
          <t>5. Обґрунтування</t>
        </is>
      </c>
      <c r="B9" s="8" t="inlineStr">
        <is>
          <t>На аркуші «Обґрунтування» власними словами поясніть вибір для 2–3 ризиків із топ-5.</t>
        </is>
      </c>
    </row>
    <row r="10">
      <c r="A10" s="9" t="inlineStr">
        <is>
          <t>6. Нова обставина</t>
        </is>
      </c>
      <c r="B10" s="8" t="inlineStr">
        <is>
          <t>Коли завершите кроки 1–4, відкрийте окремий файл «Нова обставина» (не раніше). Оновіть таблицю й запишіть, що змінилось (аркуш «Обґрунтування», рядок «Інжект»).</t>
        </is>
      </c>
    </row>
    <row r="11">
      <c r="A11" s="9" t="n"/>
      <c r="B11" s="8" t="n"/>
    </row>
    <row r="12">
      <c r="A12" s="9" t="inlineStr">
        <is>
          <t>Шкала ймовірності P</t>
        </is>
      </c>
      <c r="B12" s="8" t="inlineStr">
        <is>
          <t>1 — рідше ніж раз на 5 років · 2 — раз на 2–5 років · 3 — раз на 1–2 роки · 4 — кілька разів на рік · 5 — щомісяця і частіше</t>
        </is>
      </c>
    </row>
    <row r="13">
      <c r="A13" s="9" t="inlineStr">
        <is>
          <t>Шкала наслідків C</t>
        </is>
      </c>
      <c r="B13" s="8" t="inlineStr">
        <is>
          <t>1 — збитки до 10 тис. грн, без зупинки · 2 — 10–50 тис. грн · 3 — 50–250 тис. грн або зупинка відділення до кількох годин · 4 — 250 тис. – 1 млн грн, або зупинка на добу, або увага регулятора · 5 — понад 1 млн грн, тривала зупинка, витік даних клієнтів, серйозна репутаційна шкода</t>
        </is>
      </c>
    </row>
    <row r="14">
      <c r="A14" s="9" t="inlineStr">
        <is>
          <t>Рівень ризику</t>
        </is>
      </c>
      <c r="B14" s="8" t="inlineStr">
        <is>
          <t>Рівень = P × C. 1–4 низький · 5–9 середній · 10–16 високий · 17–25 критичний</t>
        </is>
      </c>
    </row>
    <row r="15">
      <c r="A15" s="9" t="inlineStr">
        <is>
          <t>Правила стратегій</t>
        </is>
      </c>
      <c r="B15" s="8" t="inlineStr">
        <is>
          <t>Критичний ризик (17–25) не приймають. «Приймати» — без заходу. «Передавати» — лише через захід «Страхування». «Уникати» — через захід «Призупинити сервіс чи функцію». «Зменшувати» — захід, що діє на категорію ризику.</t>
        </is>
      </c>
    </row>
    <row r="16">
      <c r="A16" s="9" t="inlineStr">
        <is>
          <t>Бюджет</t>
        </is>
      </c>
      <c r="B16" s="8" t="inlineStr">
        <is>
          <t>100 умовних одиниць (якщо бюджет зміниться, поправте комірку B4 на аркуші «Бюджет»). Кожен захід оплачується один раз, навіть якщо ним закрито кілька ризиків.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7D7B"/>
    <outlinePr summaryBelow="1" summaryRight="1"/>
    <pageSetUpPr/>
  </sheetPr>
  <dimension ref="A1:B18"/>
  <sheetViews>
    <sheetView tabSelected="0"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5" t="inlineStr">
        <is>
          <t>Профіль відділення. Варіант 08</t>
        </is>
      </c>
    </row>
    <row r="3">
      <c r="A3" s="10" t="inlineStr">
        <is>
          <t>Номер варіанта</t>
        </is>
      </c>
      <c r="B3" s="11" t="inlineStr">
        <is>
          <t>08</t>
        </is>
      </c>
    </row>
    <row r="4">
      <c r="A4" s="10" t="inlineStr">
        <is>
          <t>Студент (прізвище)</t>
        </is>
      </c>
      <c r="B4" s="12" t="inlineStr">
        <is>
          <t>Кравченко</t>
        </is>
      </c>
    </row>
    <row r="5">
      <c r="A5" s="10" t="inlineStr">
        <is>
          <t>Кількість працівників</t>
        </is>
      </c>
      <c r="B5" s="11" t="inlineStr">
        <is>
          <t>12 (три каси, двоє менеджерів, керівник, операціоніст та інші)</t>
        </is>
      </c>
    </row>
    <row r="6">
      <c r="A6" s="10" t="inlineStr">
        <is>
          <t>Банкомати</t>
        </is>
      </c>
      <c r="B6" s="11" t="inlineStr">
        <is>
          <t>2: один у залі, один на вулиці</t>
        </is>
      </c>
    </row>
    <row r="7">
      <c r="A7" s="10" t="inlineStr">
        <is>
          <t>POS-термінали</t>
        </is>
      </c>
      <c r="B7" s="11" t="inlineStr">
        <is>
          <t>4</t>
        </is>
      </c>
    </row>
    <row r="8">
      <c r="A8" s="10" t="inlineStr">
        <is>
          <t>Вуличний банкомат: освітлення</t>
        </is>
      </c>
      <c r="B8" s="11" t="inlineStr">
        <is>
          <t>добре</t>
        </is>
      </c>
    </row>
    <row r="9">
      <c r="A9" s="10" t="inlineStr">
        <is>
          <t>Вуличний банкомат: камера</t>
        </is>
      </c>
      <c r="B9" s="11" t="inlineStr">
        <is>
          <t>немає</t>
        </is>
      </c>
    </row>
    <row r="10">
      <c r="A10" s="10" t="inlineStr">
        <is>
          <t>Готівка у вуличному банкоматі</t>
        </is>
      </c>
      <c r="B10" s="11" t="inlineStr">
        <is>
          <t>до 190 тис. грн</t>
        </is>
      </c>
    </row>
    <row r="11">
      <c r="A11" s="10" t="inlineStr">
        <is>
          <t>Транзакцій на добу на вуличному банкоматі</t>
        </is>
      </c>
      <c r="B11" s="11" t="inlineStr">
        <is>
          <t>200</t>
        </is>
      </c>
    </row>
    <row r="12">
      <c r="A12" s="10" t="inlineStr">
        <is>
          <t>Резервне живлення</t>
        </is>
      </c>
      <c r="B12" s="11" t="inlineStr">
        <is>
          <t>без резерву</t>
        </is>
      </c>
    </row>
    <row r="13">
      <c r="A13" s="10" t="inlineStr">
        <is>
          <t>Відключення електроенергії</t>
        </is>
      </c>
      <c r="B13" s="11" t="inlineStr">
        <is>
          <t>у середньому 6 год на добу</t>
        </is>
      </c>
    </row>
    <row r="14">
      <c r="A14" s="10" t="inlineStr">
        <is>
          <t>Канал зв'язку з головним офісом</t>
        </is>
      </c>
      <c r="B14" s="11" t="inlineStr">
        <is>
          <t>два канали</t>
        </is>
      </c>
    </row>
    <row r="15">
      <c r="A15" s="10" t="inlineStr">
        <is>
          <t>Спроб вішингу за останній рік (внутрішній облік)</t>
        </is>
      </c>
      <c r="B15" s="11" t="inlineStr">
        <is>
          <t>3</t>
        </is>
      </c>
    </row>
    <row r="16">
      <c r="A16" s="10" t="inlineStr">
        <is>
          <t>Особливий актив відділення</t>
        </is>
      </c>
      <c r="B16" s="11" t="inlineStr">
        <is>
          <t>Система контролю доступу (електронні замки) із ПЗ на старому ПК</t>
        </is>
      </c>
    </row>
    <row r="17">
      <c r="A17" s="10" t="inlineStr">
        <is>
          <t>Бюджет на безпеку</t>
        </is>
      </c>
      <c r="B17" s="11" t="inlineStr">
        <is>
          <t>100 умовних одиниць</t>
        </is>
      </c>
    </row>
    <row r="18">
      <c r="A18" s="10" t="inlineStr">
        <is>
          <t>Захід, недоступний у цьому кварталі</t>
        </is>
      </c>
      <c r="B18" s="11" t="inlineStr">
        <is>
          <t>немає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A7D7B"/>
    <outlinePr summaryBelow="1" summaryRight="1"/>
    <pageSetUpPr/>
  </sheetPr>
  <dimension ref="A1:H21"/>
  <sheetViews>
    <sheetView tabSelected="0"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8" customWidth="1" min="4" max="4"/>
    <col width="6" customWidth="1" min="5" max="5"/>
    <col width="6" customWidth="1" min="6" max="6"/>
    <col width="11" customWidth="1" min="7" max="7"/>
    <col width="11" customWidth="1" min="8" max="8"/>
  </cols>
  <sheetData>
    <row r="1">
      <c r="A1" s="5" t="inlineStr">
        <is>
          <t>Каталог заходів безпеки</t>
        </is>
      </c>
    </row>
    <row r="2">
      <c r="A2" s="6" t="inlineStr">
        <is>
          <t>Вартість в умовних одиницях. ΔP і ΔC: на скільки балів захід знижує ймовірність і наслідки (лише для зазначених категорій).</t>
        </is>
      </c>
    </row>
    <row r="4" ht="44" customHeight="1">
      <c r="A4" s="13" t="inlineStr">
        <is>
          <t>Код</t>
        </is>
      </c>
      <c r="B4" s="13" t="inlineStr">
        <is>
          <t>Назва заходу</t>
        </is>
      </c>
      <c r="C4" s="13" t="inlineStr">
        <is>
          <t>Вартість</t>
        </is>
      </c>
      <c r="D4" s="13" t="inlineStr">
        <is>
          <t>Діє на категорії ризику</t>
        </is>
      </c>
      <c r="E4" s="13" t="inlineStr">
        <is>
          <t>ΔP</t>
        </is>
      </c>
      <c r="F4" s="13" t="inlineStr">
        <is>
          <t>ΔC</t>
        </is>
      </c>
      <c r="G4" s="13" t="inlineStr">
        <is>
          <t>Оплачено</t>
        </is>
      </c>
      <c r="H4" s="13" t="inlineStr">
        <is>
          <t>Доступний</t>
        </is>
      </c>
    </row>
    <row r="5">
      <c r="A5" s="14" t="inlineStr">
        <is>
          <t>M1</t>
        </is>
      </c>
      <c r="B5" s="14" t="inlineStr">
        <is>
          <t>Навчання персоналу з фішингу та вішингу</t>
        </is>
      </c>
      <c r="C5" s="14" t="n">
        <v>10</v>
      </c>
      <c r="D5" s="14" t="inlineStr">
        <is>
          <t>Соціальна інженерія</t>
        </is>
      </c>
      <c r="E5" s="14" t="n">
        <v>1</v>
      </c>
      <c r="F5" s="14" t="n">
        <v>0</v>
      </c>
      <c r="G5" s="14">
        <f>IF(COUNTIF('В08 Ризики'!$L$5:$L$24,B5)&gt;0,C5,0)</f>
        <v/>
      </c>
      <c r="H5" s="12" t="inlineStr">
        <is>
          <t>Так</t>
        </is>
      </c>
    </row>
    <row r="6">
      <c r="A6" s="14" t="inlineStr">
        <is>
          <t>M2</t>
        </is>
      </c>
      <c r="B6" s="14" t="inlineStr">
        <is>
          <t>Багатофакторна автентифікація для адміністраторів і ДБО</t>
        </is>
      </c>
      <c r="C6" s="14" t="n">
        <v>15</v>
      </c>
      <c r="D6" s="14" t="inlineStr">
        <is>
          <t>Мережа/ІТ; Соціальна інженерія</t>
        </is>
      </c>
      <c r="E6" s="14" t="n">
        <v>2</v>
      </c>
      <c r="F6" s="14" t="n">
        <v>0</v>
      </c>
      <c r="G6" s="14">
        <f>IF(COUNTIF('В08 Ризики'!$L$5:$L$24,B6)&gt;0,C6,0)</f>
        <v/>
      </c>
      <c r="H6" s="12" t="inlineStr">
        <is>
          <t>Так</t>
        </is>
      </c>
    </row>
    <row r="7">
      <c r="A7" s="14" t="inlineStr">
        <is>
          <t>M3</t>
        </is>
      </c>
      <c r="B7" s="14" t="inlineStr">
        <is>
          <t>Антискімінгові накладки та датчик відкриття корпусу банкомата</t>
        </is>
      </c>
      <c r="C7" s="14" t="n">
        <v>12</v>
      </c>
      <c r="D7" s="14" t="inlineStr">
        <is>
          <t>Шахрайство з картками</t>
        </is>
      </c>
      <c r="E7" s="14" t="n">
        <v>2</v>
      </c>
      <c r="F7" s="14" t="n">
        <v>0</v>
      </c>
      <c r="G7" s="14">
        <f>IF(COUNTIF('В08 Ризики'!$L$5:$L$24,B7)&gt;0,C7,0)</f>
        <v/>
      </c>
      <c r="H7" s="12" t="inlineStr">
        <is>
          <t>Так</t>
        </is>
      </c>
    </row>
    <row r="8">
      <c r="A8" s="14" t="inlineStr">
        <is>
          <t>M4</t>
        </is>
      </c>
      <c r="B8" s="14" t="inlineStr">
        <is>
          <t>Освітлення та камера біля вуличного банкомата</t>
        </is>
      </c>
      <c r="C8" s="14" t="n">
        <v>8</v>
      </c>
      <c r="D8" s="14" t="inlineStr">
        <is>
          <t>Фізичний доступ; Шахрайство з картками</t>
        </is>
      </c>
      <c r="E8" s="14" t="n">
        <v>1</v>
      </c>
      <c r="F8" s="14" t="n">
        <v>0</v>
      </c>
      <c r="G8" s="14">
        <f>IF(COUNTIF('В08 Ризики'!$L$5:$L$24,B8)&gt;0,C8,0)</f>
        <v/>
      </c>
      <c r="H8" s="12" t="inlineStr">
        <is>
          <t>Так</t>
        </is>
      </c>
    </row>
    <row r="9">
      <c r="A9" s="14" t="inlineStr">
        <is>
          <t>M5</t>
        </is>
      </c>
      <c r="B9" s="14" t="inlineStr">
        <is>
          <t>Резервний канал зв'язку (LTE)</t>
        </is>
      </c>
      <c r="C9" s="14" t="n">
        <v>14</v>
      </c>
      <c r="D9" s="14" t="inlineStr">
        <is>
          <t>Живлення і зв'язок</t>
        </is>
      </c>
      <c r="E9" s="14" t="n">
        <v>2</v>
      </c>
      <c r="F9" s="14" t="n">
        <v>0</v>
      </c>
      <c r="G9" s="14">
        <f>IF(COUNTIF('В08 Ризики'!$L$5:$L$24,B9)&gt;0,C9,0)</f>
        <v/>
      </c>
      <c r="H9" s="12" t="inlineStr">
        <is>
          <t>Так</t>
        </is>
      </c>
    </row>
    <row r="10">
      <c r="A10" s="14" t="inlineStr">
        <is>
          <t>M6</t>
        </is>
      </c>
      <c r="B10" s="14" t="inlineStr">
        <is>
          <t>Генератор і ДБЖ</t>
        </is>
      </c>
      <c r="C10" s="14" t="n">
        <v>18</v>
      </c>
      <c r="D10" s="14" t="inlineStr">
        <is>
          <t>Живлення і зв'язок</t>
        </is>
      </c>
      <c r="E10" s="14" t="n">
        <v>2</v>
      </c>
      <c r="F10" s="14" t="n">
        <v>1</v>
      </c>
      <c r="G10" s="14">
        <f>IF(COUNTIF('В08 Ризики'!$L$5:$L$24,B10)&gt;0,C10,0)</f>
        <v/>
      </c>
      <c r="H10" s="12" t="inlineStr">
        <is>
          <t>Так</t>
        </is>
      </c>
    </row>
    <row r="11">
      <c r="A11" s="14" t="inlineStr">
        <is>
          <t>M7</t>
        </is>
      </c>
      <c r="B11" s="14" t="inlineStr">
        <is>
          <t>Сегментація мережі (VLAN, списки доступу)</t>
        </is>
      </c>
      <c r="C11" s="14" t="n">
        <v>16</v>
      </c>
      <c r="D11" s="14" t="inlineStr">
        <is>
          <t>Мережа/ІТ</t>
        </is>
      </c>
      <c r="E11" s="14" t="n">
        <v>1</v>
      </c>
      <c r="F11" s="14" t="n">
        <v>2</v>
      </c>
      <c r="G11" s="14">
        <f>IF(COUNTIF('В08 Ризики'!$L$5:$L$24,B11)&gt;0,C11,0)</f>
        <v/>
      </c>
      <c r="H11" s="12" t="inlineStr">
        <is>
          <t>Так</t>
        </is>
      </c>
    </row>
    <row r="12">
      <c r="A12" s="14" t="inlineStr">
        <is>
          <t>M8</t>
        </is>
      </c>
      <c r="B12" s="14" t="inlineStr">
        <is>
          <t>Резервні копії з перевіркою відновлення</t>
        </is>
      </c>
      <c r="C12" s="14" t="n">
        <v>12</v>
      </c>
      <c r="D12" s="14" t="inlineStr">
        <is>
          <t>Мережа/ІТ; Живлення і зв'язок</t>
        </is>
      </c>
      <c r="E12" s="14" t="n">
        <v>0</v>
      </c>
      <c r="F12" s="14" t="n">
        <v>2</v>
      </c>
      <c r="G12" s="14">
        <f>IF(COUNTIF('В08 Ризики'!$L$5:$L$24,B12)&gt;0,C12,0)</f>
        <v/>
      </c>
      <c r="H12" s="12" t="inlineStr">
        <is>
          <t>Так</t>
        </is>
      </c>
    </row>
    <row r="13">
      <c r="A13" s="14" t="inlineStr">
        <is>
          <t>M9</t>
        </is>
      </c>
      <c r="B13" s="14" t="inlineStr">
        <is>
          <t>Оновлення ПЗ за графіком</t>
        </is>
      </c>
      <c r="C13" s="14" t="n">
        <v>9</v>
      </c>
      <c r="D13" s="14" t="inlineStr">
        <is>
          <t>Мережа/ІТ</t>
        </is>
      </c>
      <c r="E13" s="14" t="n">
        <v>1</v>
      </c>
      <c r="F13" s="14" t="n">
        <v>0</v>
      </c>
      <c r="G13" s="14">
        <f>IF(COUNTIF('В08 Ризики'!$L$5:$L$24,B13)&gt;0,C13,0)</f>
        <v/>
      </c>
      <c r="H13" s="12" t="inlineStr">
        <is>
          <t>Так</t>
        </is>
      </c>
    </row>
    <row r="14">
      <c r="A14" s="14" t="inlineStr">
        <is>
          <t>M10</t>
        </is>
      </c>
      <c r="B14" s="14" t="inlineStr">
        <is>
          <t>Страхування готівки та кіберризиків</t>
        </is>
      </c>
      <c r="C14" s="14" t="n">
        <v>20</v>
      </c>
      <c r="D14" s="14" t="inlineStr">
        <is>
          <t>Фізичний доступ; Шахрайство з картками; Мережа/ІТ</t>
        </is>
      </c>
      <c r="E14" s="14" t="n">
        <v>0</v>
      </c>
      <c r="F14" s="14" t="n">
        <v>2</v>
      </c>
      <c r="G14" s="14">
        <f>IF(COUNTIF('В08 Ризики'!$L$5:$L$24,B14)&gt;0,C14,0)</f>
        <v/>
      </c>
      <c r="H14" s="12" t="inlineStr">
        <is>
          <t>Так</t>
        </is>
      </c>
    </row>
    <row r="15">
      <c r="A15" s="14" t="inlineStr">
        <is>
          <t>M11</t>
        </is>
      </c>
      <c r="B15" s="14" t="inlineStr">
        <is>
          <t>Електронні замки та журнал входу в серверну</t>
        </is>
      </c>
      <c r="C15" s="14" t="n">
        <v>10</v>
      </c>
      <c r="D15" s="14" t="inlineStr">
        <is>
          <t>Фізичний доступ; Персонал і процеси</t>
        </is>
      </c>
      <c r="E15" s="14" t="n">
        <v>1</v>
      </c>
      <c r="F15" s="14" t="n">
        <v>1</v>
      </c>
      <c r="G15" s="14">
        <f>IF(COUNTIF('В08 Ризики'!$L$5:$L$24,B15)&gt;0,C15,0)</f>
        <v/>
      </c>
      <c r="H15" s="12" t="inlineStr">
        <is>
          <t>Так</t>
        </is>
      </c>
    </row>
    <row r="16">
      <c r="A16" s="14" t="inlineStr">
        <is>
          <t>M12</t>
        </is>
      </c>
      <c r="B16" s="14" t="inlineStr">
        <is>
          <t>Захист від DDoS (послуга оператора)</t>
        </is>
      </c>
      <c r="C16" s="14" t="n">
        <v>17</v>
      </c>
      <c r="D16" s="14" t="inlineStr">
        <is>
          <t>Мережа/ІТ</t>
        </is>
      </c>
      <c r="E16" s="14" t="n">
        <v>2</v>
      </c>
      <c r="F16" s="14" t="n">
        <v>1</v>
      </c>
      <c r="G16" s="14">
        <f>IF(COUNTIF('В08 Ризики'!$L$5:$L$24,B16)&gt;0,C16,0)</f>
        <v/>
      </c>
      <c r="H16" s="12" t="inlineStr">
        <is>
          <t>Так</t>
        </is>
      </c>
    </row>
    <row r="17">
      <c r="A17" s="14" t="inlineStr">
        <is>
          <t>M13</t>
        </is>
      </c>
      <c r="B17" s="14" t="inlineStr">
        <is>
          <t>Моніторинг журналів і оповіщення</t>
        </is>
      </c>
      <c r="C17" s="14" t="n">
        <v>13</v>
      </c>
      <c r="D17" s="14" t="inlineStr">
        <is>
          <t>Мережа/ІТ; Персонал і процеси</t>
        </is>
      </c>
      <c r="E17" s="14" t="n">
        <v>1</v>
      </c>
      <c r="F17" s="14" t="n">
        <v>1</v>
      </c>
      <c r="G17" s="14">
        <f>IF(COUNTIF('В08 Ризики'!$L$5:$L$24,B17)&gt;0,C17,0)</f>
        <v/>
      </c>
      <c r="H17" s="12" t="inlineStr">
        <is>
          <t>Так</t>
        </is>
      </c>
    </row>
    <row r="18">
      <c r="A18" s="14" t="inlineStr">
        <is>
          <t>M14</t>
        </is>
      </c>
      <c r="B18" s="14" t="inlineStr">
        <is>
          <t>Окрема гостьова Wi-Fi та зміна заводських паролів IoT</t>
        </is>
      </c>
      <c r="C18" s="14" t="n">
        <v>7</v>
      </c>
      <c r="D18" s="14" t="inlineStr">
        <is>
          <t>Мережа/ІТ</t>
        </is>
      </c>
      <c r="E18" s="14" t="n">
        <v>2</v>
      </c>
      <c r="F18" s="14" t="n">
        <v>0</v>
      </c>
      <c r="G18" s="14">
        <f>IF(COUNTIF('В08 Ризики'!$L$5:$L$24,B18)&gt;0,C18,0)</f>
        <v/>
      </c>
      <c r="H18" s="12" t="inlineStr">
        <is>
          <t>Так</t>
        </is>
      </c>
    </row>
    <row r="19">
      <c r="A19" s="14" t="inlineStr">
        <is>
          <t>M15</t>
        </is>
      </c>
      <c r="B19" s="14" t="inlineStr">
        <is>
          <t>Призупинити сервіс чи функцію (уникнення, втрата бізнесу)</t>
        </is>
      </c>
      <c r="C19" s="14" t="n">
        <v>6</v>
      </c>
      <c r="D19" s="14" t="inlineStr">
        <is>
          <t>Соціальна інженерія; Фізичний доступ; Шахрайство з картками; Мережа/ІТ; Живлення і зв'язок; Персонал і процеси</t>
        </is>
      </c>
      <c r="E19" s="14" t="n">
        <v>3</v>
      </c>
      <c r="F19" s="14" t="n">
        <v>0</v>
      </c>
      <c r="G19" s="14">
        <f>IF(COUNTIF('В08 Ризики'!$L$5:$L$24,B19)&gt;0,C19,0)</f>
        <v/>
      </c>
      <c r="H19" s="12" t="inlineStr">
        <is>
          <t>Так</t>
        </is>
      </c>
    </row>
    <row r="20">
      <c r="B20" s="15" t="inlineStr">
        <is>
          <t>Разом</t>
        </is>
      </c>
      <c r="C20" s="15">
        <f>SUM(C5:C18)</f>
        <v/>
      </c>
      <c r="G20" s="15">
        <f>SUM(G5:G19)</f>
        <v/>
      </c>
    </row>
    <row r="21">
      <c r="B21" s="16" t="inlineStr">
        <is>
          <t>Разом у рядку «Разом» вартість M1–M14 (без уникнення)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H5:H19" showDropDown="0" showInputMessage="0" showErrorMessage="0" allowBlank="0" type="list">
      <formula1>"Так,Ні"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A7D7B"/>
    <outlinePr summaryBelow="1" summaryRight="1"/>
    <pageSetUpPr/>
  </sheetPr>
  <dimension ref="A1:F24"/>
  <sheetViews>
    <sheetView tabSelected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2" customWidth="1" min="5" max="5"/>
    <col width="50" customWidth="1" min="6" max="6"/>
  </cols>
  <sheetData>
    <row r="1">
      <c r="A1" s="5" t="inlineStr">
        <is>
          <t>Активи відділення (питання 1)</t>
        </is>
      </c>
    </row>
    <row r="2">
      <c r="A2" s="6" t="inlineStr">
        <is>
          <t>Не менше 10 активів. Цінність: 1 — незначна, 5 — критична для роботи банку.</t>
        </is>
      </c>
    </row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Група</t>
        </is>
      </c>
      <c r="D4" s="13" t="inlineStr">
        <is>
          <t>Власник (роль)</t>
        </is>
      </c>
      <c r="E4" s="13" t="inlineStr">
        <is>
          <t>Цінність 1–5</t>
        </is>
      </c>
      <c r="F4" s="13" t="inlineStr">
        <is>
          <t>Чому цінний</t>
        </is>
      </c>
    </row>
    <row r="5">
      <c r="A5" s="14" t="n">
        <v>1</v>
      </c>
      <c r="B5" s="12" t="inlineStr">
        <is>
          <t>Готівка у вуличному банкоматі</t>
        </is>
      </c>
      <c r="C5" s="12" t="inlineStr">
        <is>
          <t>Гроші й цінності</t>
        </is>
      </c>
      <c r="D5" s="12" t="inlineStr">
        <is>
          <t>Керівник відділення / інкасація</t>
        </is>
      </c>
      <c r="E5" s="12" t="n">
        <v>5</v>
      </c>
      <c r="F5" s="12" t="inlineStr">
        <is>
          <t>До 190 тис. грн у касетах; втрата — прямий збиток.</t>
        </is>
      </c>
    </row>
    <row r="6">
      <c r="A6" s="14" t="n">
        <v>2</v>
      </c>
      <c r="B6" s="12" t="inlineStr">
        <is>
          <t>Готівка в касах і сховищі</t>
        </is>
      </c>
      <c r="C6" s="12" t="inlineStr">
        <is>
          <t>Гроші й цінності</t>
        </is>
      </c>
      <c r="D6" s="12" t="inlineStr">
        <is>
          <t>Старший касир</t>
        </is>
      </c>
      <c r="E6" s="12" t="n">
        <v>5</v>
      </c>
      <c r="F6" s="12" t="inlineStr">
        <is>
          <t>Основна готівка відділення.</t>
        </is>
      </c>
    </row>
    <row r="7">
      <c r="A7" s="14" t="n">
        <v>3</v>
      </c>
      <c r="B7" s="12" t="inlineStr">
        <is>
          <t>Вуличний банкомат (картки й ПІН клієнтів)</t>
        </is>
      </c>
      <c r="C7" s="12" t="inlineStr">
        <is>
          <t>Системи й обладнання</t>
        </is>
      </c>
      <c r="D7" s="12" t="inlineStr">
        <is>
          <t>Відповідальний за банкомати</t>
        </is>
      </c>
      <c r="E7" s="12" t="n">
        <v>4</v>
      </c>
      <c r="F7" s="12" t="inlineStr">
        <is>
          <t>≈ 200 операцій на добу: скомпрометовані картки — масові збитки клієнтів.</t>
        </is>
      </c>
    </row>
    <row r="8">
      <c r="A8" s="14" t="n">
        <v>4</v>
      </c>
      <c r="B8" s="12" t="inlineStr">
        <is>
          <t>Банкомат у залі та POS-термінали (4 шт.)</t>
        </is>
      </c>
      <c r="C8" s="12" t="inlineStr">
        <is>
          <t>Системи й обладнання</t>
        </is>
      </c>
      <c r="D8" s="12" t="inlineStr">
        <is>
          <t>Відповідальний за банкомати</t>
        </is>
      </c>
      <c r="E8" s="12" t="n">
        <v>3</v>
      </c>
      <c r="F8" s="12" t="inlineStr">
        <is>
          <t>Обслуговують клієнтів у робочий час.</t>
        </is>
      </c>
    </row>
    <row r="9">
      <c r="A9" s="14" t="n">
        <v>5</v>
      </c>
      <c r="B9" s="12" t="inlineStr">
        <is>
          <t>Персональні дані й рахунки клієнтів в АБС</t>
        </is>
      </c>
      <c r="C9" s="12" t="inlineStr">
        <is>
          <t>Дані клієнтів</t>
        </is>
      </c>
      <c r="D9" s="12" t="inlineStr">
        <is>
          <t>Операціоніст / відповідальний за ІБ</t>
        </is>
      </c>
      <c r="E9" s="12" t="n">
        <v>5</v>
      </c>
      <c r="F9" s="12" t="inlineStr">
        <is>
          <t>Витік — штрафи регулятора й втрата довіри.</t>
        </is>
      </c>
    </row>
    <row r="10">
      <c r="A10" s="14" t="n">
        <v>6</v>
      </c>
      <c r="B10" s="12" t="inlineStr">
        <is>
          <t>Робочі місця кас і менеджерів (ПК)</t>
        </is>
      </c>
      <c r="C10" s="12" t="inlineStr">
        <is>
          <t>Системи й обладнання</t>
        </is>
      </c>
      <c r="D10" s="12" t="inlineStr">
        <is>
          <t>Системний адміністратор</t>
        </is>
      </c>
      <c r="E10" s="12" t="n">
        <v>4</v>
      </c>
      <c r="F10" s="12" t="inlineStr">
        <is>
          <t>Без них відділення не проводить операцій.</t>
        </is>
      </c>
    </row>
    <row r="11">
      <c r="A11" s="14" t="n">
        <v>7</v>
      </c>
      <c r="B11" s="12" t="inlineStr">
        <is>
          <t>Система контролю доступу (електронні замки) на старому ПК</t>
        </is>
      </c>
      <c r="C11" s="12" t="inlineStr">
        <is>
          <t>Системи й обладнання</t>
        </is>
      </c>
      <c r="D11" s="12" t="inlineStr">
        <is>
          <t>Системний адміністратор / охорона</t>
        </is>
      </c>
      <c r="E11" s="12" t="n">
        <v>4</v>
      </c>
      <c r="F11" s="12" t="inlineStr">
        <is>
          <t>Керує дверима серверної та сховища; ПК у загальній мережі.</t>
        </is>
      </c>
    </row>
    <row r="12">
      <c r="A12" s="14" t="n">
        <v>8</v>
      </c>
      <c r="B12" s="12" t="inlineStr">
        <is>
          <t>Серверна шафа (комутатори, маршрутизатор)</t>
        </is>
      </c>
      <c r="C12" s="12" t="inlineStr">
        <is>
          <t>Мережа й зв'язок</t>
        </is>
      </c>
      <c r="D12" s="12" t="inlineStr">
        <is>
          <t>Системний адміністратор</t>
        </is>
      </c>
      <c r="E12" s="12" t="n">
        <v>4</v>
      </c>
      <c r="F12" s="12" t="inlineStr">
        <is>
          <t>Через неї проходить увесь трафік відділення.</t>
        </is>
      </c>
    </row>
    <row r="13">
      <c r="A13" s="14" t="n">
        <v>9</v>
      </c>
      <c r="B13" s="12" t="inlineStr">
        <is>
          <t>Канали зв'язку з головним офісом (два)</t>
        </is>
      </c>
      <c r="C13" s="12" t="inlineStr">
        <is>
          <t>Мережа й зв'язок</t>
        </is>
      </c>
      <c r="D13" s="12" t="inlineStr">
        <is>
          <t>Системний адміністратор</t>
        </is>
      </c>
      <c r="E13" s="12" t="n">
        <v>4</v>
      </c>
      <c r="F13" s="12" t="inlineStr">
        <is>
          <t>Без зв'язку не працюють АБС і банкомати.</t>
        </is>
      </c>
    </row>
    <row r="14">
      <c r="A14" s="14" t="n">
        <v>10</v>
      </c>
      <c r="B14" s="12" t="inlineStr">
        <is>
          <t>Електроживлення відділення</t>
        </is>
      </c>
      <c r="C14" s="12" t="inlineStr">
        <is>
          <t>Мережа й зв'язок</t>
        </is>
      </c>
      <c r="D14" s="12" t="inlineStr">
        <is>
          <t>Завгосп / керівник</t>
        </is>
      </c>
      <c r="E14" s="12" t="n">
        <v>4</v>
      </c>
      <c r="F14" s="12" t="inlineStr">
        <is>
          <t>Відключення ~6 год на добу, резерву немає.</t>
        </is>
      </c>
    </row>
    <row r="15">
      <c r="A15" s="14" t="n">
        <v>11</v>
      </c>
      <c r="B15" s="12" t="inlineStr">
        <is>
          <t>Облікові записи й паролі працівників</t>
        </is>
      </c>
      <c r="C15" s="12" t="inlineStr">
        <is>
          <t>Персонал</t>
        </is>
      </c>
      <c r="D15" s="12" t="inlineStr">
        <is>
          <t>Системний адміністратор</t>
        </is>
      </c>
      <c r="E15" s="12" t="n">
        <v>4</v>
      </c>
      <c r="F15" s="12" t="inlineStr">
        <is>
          <t>Доступ до АБС від імені працівника.</t>
        </is>
      </c>
    </row>
    <row r="16">
      <c r="A16" s="14" t="n">
        <v>12</v>
      </c>
      <c r="B16" s="12" t="inlineStr">
        <is>
          <t>Працівники відділення (12 осіб)</t>
        </is>
      </c>
      <c r="C16" s="12" t="inlineStr">
        <is>
          <t>Персонал</t>
        </is>
      </c>
      <c r="D16" s="12" t="inlineStr">
        <is>
          <t>Керівник відділення</t>
        </is>
      </c>
      <c r="E16" s="12" t="n">
        <v>4</v>
      </c>
      <c r="F16" s="12" t="inlineStr">
        <is>
          <t>Мішень вішингу: 3 спроби за рік.</t>
        </is>
      </c>
    </row>
    <row r="17">
      <c r="A17" s="14" t="n">
        <v>13</v>
      </c>
      <c r="B17" s="12" t="inlineStr">
        <is>
          <t>Репутація відділення й довіра клієнтів</t>
        </is>
      </c>
      <c r="C17" s="12" t="inlineStr">
        <is>
          <t>Репутація й процеси</t>
        </is>
      </c>
      <c r="D17" s="12" t="inlineStr">
        <is>
          <t>Керівник відділення</t>
        </is>
      </c>
      <c r="E17" s="12" t="n">
        <v>4</v>
      </c>
      <c r="F17" s="12" t="inlineStr">
        <is>
          <t>Страждає від будь-якого інциденту з клієнтами.</t>
        </is>
      </c>
    </row>
    <row r="18">
      <c r="A18" s="14" t="n">
        <v>14</v>
      </c>
      <c r="B18" s="12" t="n"/>
      <c r="C18" s="12" t="n"/>
      <c r="D18" s="12" t="n"/>
      <c r="E18" s="12" t="n"/>
      <c r="F18" s="12" t="n"/>
    </row>
    <row r="19">
      <c r="A19" s="14" t="n">
        <v>15</v>
      </c>
      <c r="B19" s="12" t="n"/>
      <c r="C19" s="12" t="n"/>
      <c r="D19" s="12" t="n"/>
      <c r="E19" s="12" t="n"/>
      <c r="F19" s="12" t="n"/>
    </row>
    <row r="20">
      <c r="A20" s="14" t="n">
        <v>16</v>
      </c>
      <c r="B20" s="12" t="n"/>
      <c r="C20" s="12" t="n"/>
      <c r="D20" s="12" t="n"/>
      <c r="E20" s="12" t="n"/>
      <c r="F20" s="12" t="n"/>
    </row>
    <row r="21">
      <c r="A21" s="14" t="n">
        <v>17</v>
      </c>
      <c r="B21" s="12" t="n"/>
      <c r="C21" s="12" t="n"/>
      <c r="D21" s="12" t="n"/>
      <c r="E21" s="12" t="n"/>
      <c r="F21" s="12" t="n"/>
    </row>
    <row r="22">
      <c r="A22" s="14" t="n">
        <v>18</v>
      </c>
      <c r="B22" s="12" t="n"/>
      <c r="C22" s="12" t="n"/>
      <c r="D22" s="12" t="n"/>
      <c r="E22" s="12" t="n"/>
      <c r="F22" s="12" t="n"/>
    </row>
    <row r="23">
      <c r="A23" s="14" t="n">
        <v>19</v>
      </c>
      <c r="B23" s="12" t="n"/>
      <c r="C23" s="12" t="n"/>
      <c r="D23" s="12" t="n"/>
      <c r="E23" s="12" t="n"/>
      <c r="F23" s="12" t="n"/>
    </row>
    <row r="24">
      <c r="A24" s="14" t="n">
        <v>20</v>
      </c>
      <c r="B24" s="12" t="n"/>
      <c r="C24" s="12" t="n"/>
      <c r="D24" s="12" t="n"/>
      <c r="E24" s="12" t="n"/>
      <c r="F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2">
    <dataValidation sqref="C5:C24" showDropDown="0" showInputMessage="0" showErrorMessage="0" allowBlank="1" type="list">
      <formula1>"Гроші й цінності,Дані клієнтів,Системи й обладнання,Мережа й зв'язок,Персонал,Репутація й процеси"</formula1>
    </dataValidation>
    <dataValidation sqref="E5:E2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A7D7B"/>
    <outlinePr summaryBelow="1" summaryRight="1"/>
    <pageSetUpPr/>
  </sheetPr>
  <dimension ref="A1:G17"/>
  <sheetViews>
    <sheetView tabSelected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6" customWidth="1" min="5" max="5"/>
    <col width="6" customWidth="1" min="6" max="6"/>
    <col width="46" customWidth="1" min="7" max="7"/>
  </cols>
  <sheetData>
    <row r="1">
      <c r="A1" s="5" t="inlineStr">
        <is>
          <t>Чернетка таблиці ризиків від колеги</t>
        </is>
      </c>
    </row>
    <row r="2">
      <c r="A2" s="6" t="inlineStr">
        <is>
          <t>У ній є три помилки. Знайдіть їх, запишіть у журнал виправлень (нижче) і не переносьте у свою таблицю без виправлення.</t>
        </is>
      </c>
    </row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Ризик</t>
        </is>
      </c>
      <c r="D4" s="13" t="inlineStr">
        <is>
          <t>Вразливість</t>
        </is>
      </c>
      <c r="E4" s="13" t="inlineStr">
        <is>
          <t>P</t>
        </is>
      </c>
      <c r="F4" s="13" t="inlineStr">
        <is>
          <t>C</t>
        </is>
      </c>
      <c r="G4" s="13" t="inlineStr">
        <is>
          <t>Коментар колеги</t>
        </is>
      </c>
    </row>
    <row r="5">
      <c r="A5" s="14" t="n">
        <v>1</v>
      </c>
      <c r="B5" s="14" t="inlineStr">
        <is>
          <t>Серверна</t>
        </is>
      </c>
      <c r="C5" s="14" t="inlineStr">
        <is>
          <t>Пожежа в серверній</t>
        </is>
      </c>
      <c r="D5" s="14" t="inlineStr">
        <is>
          <t>немає автоматичного пожежогасіння</t>
        </is>
      </c>
      <c r="E5" s="14" t="n">
        <v>5</v>
      </c>
      <c r="F5" s="14" t="n">
        <v>5</v>
      </c>
      <c r="G5" s="14" t="inlineStr">
        <is>
          <t>За останні сім років було лише один такий випадок у нашій мережі</t>
        </is>
      </c>
    </row>
    <row r="6">
      <c r="A6" s="14" t="n">
        <v>2</v>
      </c>
      <c r="B6" s="14" t="inlineStr">
        <is>
          <t>Вуличний банкомат (готівка)</t>
        </is>
      </c>
      <c r="C6" s="14" t="inlineStr">
        <is>
          <t>Крадіжка готівки з вуличного банкомата</t>
        </is>
      </c>
      <c r="D6" s="14" t="inlineStr">
        <is>
          <t>камери немає, освітлення погане</t>
        </is>
      </c>
      <c r="E6" s="14" t="n">
        <v>4</v>
      </c>
      <c r="F6" s="14" t="n">
        <v>4</v>
      </c>
      <c r="G6" s="14" t="inlineStr">
        <is>
          <t>перший з двох записів про одне й те саме</t>
        </is>
      </c>
    </row>
    <row r="7">
      <c r="A7" s="14" t="n">
        <v>3</v>
      </c>
      <c r="B7" s="14" t="inlineStr">
        <is>
          <t>Серверна й обладнання відділення</t>
        </is>
      </c>
      <c r="C7" s="14" t="inlineStr">
        <is>
          <t>Зловживання правами недобросовісним співробітником</t>
        </is>
      </c>
      <c r="D7" s="14" t="inlineStr">
        <is>
          <t>права адміністратора в кількох працівників, журнали не переглядають</t>
        </is>
      </c>
      <c r="E7" s="14" t="n">
        <v>2</v>
      </c>
      <c r="F7" s="14" t="n">
        <v>4</v>
      </c>
      <c r="G7" s="14" t="inlineStr">
        <is>
          <t>оцінено за політикою доступу</t>
        </is>
      </c>
    </row>
    <row r="8">
      <c r="A8" s="14" t="n">
        <v>4</v>
      </c>
      <c r="B8" s="14" t="inlineStr">
        <is>
          <t>Вуличний банкомат (готівка)</t>
        </is>
      </c>
      <c r="C8" s="14" t="inlineStr">
        <is>
          <t>Злам банкомата з метою вилучення готівки</t>
        </is>
      </c>
      <c r="D8" s="14" t="inlineStr">
        <is>
          <t>камери немає, освітлення погане</t>
        </is>
      </c>
      <c r="E8" s="14" t="n">
        <v>4</v>
      </c>
      <c r="F8" s="14" t="n">
        <v>4</v>
      </c>
      <c r="G8" s="14" t="inlineStr">
        <is>
          <t>другий запис, інші слова</t>
        </is>
      </c>
    </row>
    <row r="9">
      <c r="A9" s="14" t="n">
        <v>5</v>
      </c>
      <c r="B9" s="14" t="inlineStr">
        <is>
          <t>Вуличний банкомат (картки клієнтів)</t>
        </is>
      </c>
      <c r="C9" s="14" t="inlineStr">
        <is>
          <t>Встановлення скімера й масове копіювання карток</t>
        </is>
      </c>
      <c r="D9" s="14" t="inlineStr">
        <is>
          <t>камери немає, освітлення добре</t>
        </is>
      </c>
      <c r="E9" s="14" t="n">
        <v>3</v>
      </c>
      <c r="F9" s="14" t="n">
        <v>4</v>
      </c>
      <c r="G9" s="14" t="inlineStr">
        <is>
          <t>оцінено за даними профілю</t>
        </is>
      </c>
    </row>
    <row r="10">
      <c r="A10" s="14" t="n">
        <v>6</v>
      </c>
      <c r="B10" s="14" t="n"/>
      <c r="C10" s="14" t="inlineStr">
        <is>
          <t>Фішинг</t>
        </is>
      </c>
      <c r="D10" s="14" t="n"/>
      <c r="E10" s="14" t="n">
        <v>4</v>
      </c>
      <c r="F10" s="14" t="n">
        <v>4</v>
      </c>
      <c r="G10" s="14" t="inlineStr">
        <is>
          <t>Дуже небезпечно, треба бачити</t>
        </is>
      </c>
    </row>
    <row r="11">
      <c r="A11" s="14" t="n">
        <v>7</v>
      </c>
      <c r="B11" s="14" t="inlineStr">
        <is>
          <t>Канал зв'язку з головним офісом</t>
        </is>
      </c>
      <c r="C11" s="14" t="inlineStr">
        <is>
          <t>Відмова каналу до головного офісу</t>
        </is>
      </c>
      <c r="D11" s="14" t="inlineStr">
        <is>
          <t>два канали</t>
        </is>
      </c>
      <c r="E11" s="14" t="n">
        <v>2</v>
      </c>
      <c r="F11" s="14" t="n">
        <v>3</v>
      </c>
      <c r="G11" s="14" t="inlineStr">
        <is>
          <t>оцінено за даними профілю</t>
        </is>
      </c>
    </row>
    <row r="13">
      <c r="A13" s="17" t="inlineStr">
        <is>
          <t>Журнал виправлень</t>
        </is>
      </c>
    </row>
    <row r="14" ht="44" customHeight="1">
      <c r="A14" s="13" t="inlineStr">
        <is>
          <t>Рядок</t>
        </is>
      </c>
      <c r="B14" s="13" t="inlineStr">
        <is>
          <t>Тип помилки</t>
        </is>
      </c>
      <c r="C14" s="13" t="inlineStr">
        <is>
          <t>Що не так і як виправлено</t>
        </is>
      </c>
      <c r="D14" s="18" t="n"/>
      <c r="E14" s="18" t="n"/>
      <c r="F14" s="18" t="n"/>
      <c r="G14" s="19" t="n"/>
    </row>
    <row r="15">
      <c r="A15" s="12" t="inlineStr">
        <is>
          <t>1</t>
        </is>
      </c>
      <c r="B15" s="12" t="inlineStr">
        <is>
          <t>Ймовірність і наслідки не відповідають умові</t>
        </is>
      </c>
      <c r="C15" s="12" t="inlineStr">
        <is>
          <t>P = 5 («щомісяця»), але сам коментар каже: один випадок за сім років. За шкалою це P = 1 (рідше ніж раз на 5 років); C = 5 лишається. Рівень 25 → 5.</t>
        </is>
      </c>
      <c r="D15" s="20" t="n"/>
      <c r="E15" s="20" t="n"/>
      <c r="F15" s="20" t="n"/>
      <c r="G15" s="21" t="n"/>
    </row>
    <row r="16">
      <c r="A16" s="12" t="inlineStr">
        <is>
          <t>4</t>
        </is>
      </c>
      <c r="B16" s="12" t="inlineStr">
        <is>
          <t>Дубль ризику</t>
        </is>
      </c>
      <c r="C16" s="12" t="inlineStr">
        <is>
          <t>Рядки 2 і 4 — один ризик (готівка вуличного банкомата + той самий опис вразливості), лише інші слова. Лишаю один запис; до того ж «освітлення погане» суперечить профілю В08 (освітлення добре).</t>
        </is>
      </c>
      <c r="D16" s="20" t="n"/>
      <c r="E16" s="20" t="n"/>
      <c r="F16" s="20" t="n"/>
      <c r="G16" s="21" t="n"/>
    </row>
    <row r="17">
      <c r="A17" s="12" t="inlineStr">
        <is>
          <t>6</t>
        </is>
      </c>
      <c r="B17" s="12" t="inlineStr">
        <is>
          <t>Немає активу чи вразливості</t>
        </is>
      </c>
      <c r="C17" s="12" t="inlineStr">
        <is>
          <t>«Фішинг» без активу й вразливості — це не ризик. Виправлено: актив «Облікові записи працівників», вразливість «немає навчання й MFA», у реєстрі — ризик №3.</t>
        </is>
      </c>
      <c r="D17" s="20" t="n"/>
      <c r="E17" s="20" t="n"/>
      <c r="F17" s="20" t="n"/>
      <c r="G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"Немає активу чи вразливості,Ймовірність і наслідки не відповідають умові,Дубль ризику,Інша"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A7D7B"/>
    <outlinePr summaryBelow="1" summaryRight="1"/>
    <pageSetUpPr/>
  </sheetPr>
  <dimension ref="A1:S24"/>
  <sheetViews>
    <sheetView tabSelected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34" customWidth="1" min="4" max="4"/>
    <col width="22" customWidth="1" min="5" max="5"/>
    <col width="5" customWidth="1" min="6" max="6"/>
    <col width="5" customWidth="1" min="7" max="7"/>
    <col width="8" customWidth="1" min="8" max="8"/>
    <col width="11" customWidth="1" min="9" max="9"/>
    <col width="7" customWidth="1" min="10" max="10"/>
    <col width="13" customWidth="1" min="11" max="11"/>
    <col width="44" customWidth="1" min="12" max="12"/>
    <col width="5" customWidth="1" min="13" max="13"/>
    <col width="5" customWidth="1" min="14" max="14"/>
    <col width="7" customWidth="1" min="15" max="15"/>
    <col width="7" customWidth="1" min="16" max="16"/>
    <col width="11" customWidth="1" min="17" max="17"/>
    <col width="32" customWidth="1" min="18" max="18"/>
    <col width="8" customWidth="1" min="19" max="19"/>
  </cols>
  <sheetData>
    <row r="1">
      <c r="A1" s="5" t="inlineStr">
        <is>
          <t>Реєстр ризиків (питання 2 і 3)</t>
        </is>
      </c>
    </row>
    <row r="2">
      <c r="A2" s="6" t="inlineStr">
        <is>
          <t>Один ризик = актив + загроза + вразливість. P і C за шкалами з аркуша «Інструкція».</t>
        </is>
      </c>
    </row>
    <row r="4" ht="44" customHeight="1">
      <c r="A4" s="13" t="inlineStr">
        <is>
          <t>№</t>
        </is>
      </c>
      <c r="B4" s="13" t="inlineStr">
        <is>
          <t>Актив</t>
        </is>
      </c>
      <c r="C4" s="13" t="inlineStr">
        <is>
          <t>Загроза (що може статися)</t>
        </is>
      </c>
      <c r="D4" s="13" t="inlineStr">
        <is>
          <t>Вразливість</t>
        </is>
      </c>
      <c r="E4" s="13" t="inlineStr">
        <is>
          <t>Категорія</t>
        </is>
      </c>
      <c r="F4" s="13" t="inlineStr">
        <is>
          <t>P</t>
        </is>
      </c>
      <c r="G4" s="13" t="inlineStr">
        <is>
          <t>C</t>
        </is>
      </c>
      <c r="H4" s="13" t="inlineStr">
        <is>
          <t>Рівень</t>
        </is>
      </c>
      <c r="I4" s="13" t="inlineStr">
        <is>
          <t>Зона</t>
        </is>
      </c>
      <c r="J4" s="13" t="inlineStr">
        <is>
          <t>Топ-5</t>
        </is>
      </c>
      <c r="K4" s="13" t="inlineStr">
        <is>
          <t>Стратегія</t>
        </is>
      </c>
      <c r="L4" s="13" t="inlineStr">
        <is>
          <t>Захід (з Каталогу)</t>
        </is>
      </c>
      <c r="M4" s="13" t="inlineStr">
        <is>
          <t>ΔP</t>
        </is>
      </c>
      <c r="N4" s="13" t="inlineStr">
        <is>
          <t>ΔC</t>
        </is>
      </c>
      <c r="O4" s="13" t="inlineStr">
        <is>
          <t>P після</t>
        </is>
      </c>
      <c r="P4" s="13" t="inlineStr">
        <is>
          <t>C після</t>
        </is>
      </c>
      <c r="Q4" s="13" t="inlineStr">
        <is>
          <t>Залишковий рівень</t>
        </is>
      </c>
      <c r="R4" s="13" t="inlineStr">
        <is>
          <t>Перевірка</t>
        </is>
      </c>
      <c r="S4" s="13" t="inlineStr">
        <is>
          <t>Примітка</t>
        </is>
      </c>
    </row>
    <row r="5">
      <c r="A5" s="14" t="n">
        <v>1</v>
      </c>
      <c r="B5" s="12" t="inlineStr">
        <is>
          <t>Електроживлення відділення</t>
        </is>
      </c>
      <c r="C5" s="12" t="inlineStr">
        <is>
          <t>Щоденне відключення світла зупиняє каси, банкомати й АБС на кілька годин</t>
        </is>
      </c>
      <c r="D5" s="12" t="inlineStr">
        <is>
          <t>Немає ні ДБЖ, ні генератора; відключення ~6 год на добу</t>
        </is>
      </c>
      <c r="E5" s="12" t="inlineStr">
        <is>
          <t>Живлення і зв'язок</t>
        </is>
      </c>
      <c r="F5" s="22" t="n">
        <v>5</v>
      </c>
      <c r="G5" s="22" t="n">
        <v>4</v>
      </c>
      <c r="H5" s="23">
        <f>IF(OR(F5="",G5=""),"",F5*G5)</f>
        <v/>
      </c>
      <c r="I5" s="23">
        <f>IF(H5="","",IF(H5&lt;=4,"Низький",IF(H5&lt;=9,"Середній",IF(H5&lt;=16,"Високий","Критичний"))))</f>
        <v/>
      </c>
      <c r="J5" s="22" t="inlineStr">
        <is>
          <t>Так</t>
        </is>
      </c>
      <c r="K5" s="12" t="inlineStr">
        <is>
          <t>Зменшувати</t>
        </is>
      </c>
      <c r="L5" s="12" t="inlineStr">
        <is>
          <t>Генератор і ДБЖ</t>
        </is>
      </c>
      <c r="M5" s="23">
        <f>IF(L5="",0,IFERROR(IF(ISNUMBER(SEARCH(E5,INDEX('В08 Каталог'!$D$5:$D$19,MATCH(L5,'В08 Каталог'!$B$5:$B$19,0)))),INDEX('В08 Каталог'!$E$5:$E$19,MATCH(L5,'В08 Каталог'!$B$5:$B$19,0)),0),0))</f>
        <v/>
      </c>
      <c r="N5" s="23">
        <f>IF(L5="",0,IFERROR(IF(ISNUMBER(SEARCH(E5,INDEX('В08 Каталог'!$D$5:$D$19,MATCH(L5,'В08 Каталог'!$B$5:$B$19,0)))),INDEX('В08 Каталог'!$F$5:$F$19,MATCH(L5,'В08 Каталог'!$B$5:$B$19,0)),0),0))</f>
        <v/>
      </c>
      <c r="O5" s="23">
        <f>IF(F5="","",MAX(1,F5-M5))</f>
        <v/>
      </c>
      <c r="P5" s="23">
        <f>IF(G5="","",MAX(1,G5-N5))</f>
        <v/>
      </c>
      <c r="Q5" s="23">
        <f>IF(O5="","",O5*P5)</f>
        <v/>
      </c>
      <c r="R5" s="14">
        <f>IF(J5&lt;&gt;"Так","",IF(K5="","Оберіть стратегію",IF(AND(K5="Приймати",H5&gt;=17),"Критичний ризик не приймають",IF(AND(K5="Приймати",L5&lt;&gt;""),"Приймання: заходу не потрібно",IF(AND(K5&lt;&gt;"Приймати",L5=""),"Оберіть захід",IF(AND(K5="Передавати",L5&lt;&gt;"Страхування готівки та кіберризиків"),"Передача: оберіть страхування",IF(AND(K5="Уникати",L5&lt;&gt;"Призупинити сервіс чи функцію (уникнення, втрата бізнесу)"),"Уникнення: оберіть призупинення",IF(AND(L5&lt;&gt;"",M5+N5=0),"Захід не діє на цю категорію",IF(AND(L5&lt;&gt;"",INDEX('В08 Каталог'!$H$5:$H$19,MATCH(L5,'В08 Каталог'!$B$5:$B$19,0))="Ні"),"Захід недоступний","ОК")))))))))</f>
        <v/>
      </c>
      <c r="S5" s="12" t="inlineStr">
        <is>
          <t>P = 5: щодня. C = 4: сумарно зупинка майже на добу щотижня, клієнти йдуть.</t>
        </is>
      </c>
    </row>
    <row r="6">
      <c r="A6" s="14" t="n">
        <v>2</v>
      </c>
      <c r="B6" s="12" t="inlineStr">
        <is>
          <t>Система контролю доступу (електронні замки) на старому ПК</t>
        </is>
      </c>
      <c r="C6" s="12" t="inlineStr">
        <is>
          <t>Зараження або злам ПК СКД через загальну мережу: відкриття/блокування замків, плацдарм для атаки на мережу</t>
        </is>
      </c>
      <c r="D6" s="12" t="inlineStr">
        <is>
          <t>Застаріла ОС без оновлень, ПК у загальній мережі з касами</t>
        </is>
      </c>
      <c r="E6" s="12" t="inlineStr">
        <is>
          <t>Мережа/ІТ</t>
        </is>
      </c>
      <c r="F6" s="22" t="n">
        <v>4</v>
      </c>
      <c r="G6" s="22" t="n">
        <v>4</v>
      </c>
      <c r="H6" s="23">
        <f>IF(OR(F6="",G6=""),"",F6*G6)</f>
        <v/>
      </c>
      <c r="I6" s="23">
        <f>IF(H6="","",IF(H6&lt;=4,"Низький",IF(H6&lt;=9,"Середній",IF(H6&lt;=16,"Високий","Критичний"))))</f>
        <v/>
      </c>
      <c r="J6" s="22" t="inlineStr">
        <is>
          <t>Так</t>
        </is>
      </c>
      <c r="K6" s="12" t="inlineStr">
        <is>
          <t>Зменшувати</t>
        </is>
      </c>
      <c r="L6" s="12" t="inlineStr">
        <is>
          <t>Сегментація мережі (VLAN, списки доступу)</t>
        </is>
      </c>
      <c r="M6" s="23">
        <f>IF(L6="",0,IFERROR(IF(ISNUMBER(SEARCH(E6,INDEX('В08 Каталог'!$D$5:$D$19,MATCH(L6,'В08 Каталог'!$B$5:$B$19,0)))),INDEX('В08 Каталог'!$E$5:$E$19,MATCH(L6,'В08 Каталог'!$B$5:$B$19,0)),0),0))</f>
        <v/>
      </c>
      <c r="N6" s="23">
        <f>IF(L6="",0,IFERROR(IF(ISNUMBER(SEARCH(E6,INDEX('В08 Каталог'!$D$5:$D$19,MATCH(L6,'В08 Каталог'!$B$5:$B$19,0)))),INDEX('В08 Каталог'!$F$5:$F$19,MATCH(L6,'В08 Каталог'!$B$5:$B$19,0)),0),0))</f>
        <v/>
      </c>
      <c r="O6" s="23">
        <f>IF(F6="","",MAX(1,F6-M6))</f>
        <v/>
      </c>
      <c r="P6" s="23">
        <f>IF(G6="","",MAX(1,G6-N6))</f>
        <v/>
      </c>
      <c r="Q6" s="23">
        <f>IF(O6="","",O6*P6)</f>
        <v/>
      </c>
      <c r="R6" s="14">
        <f>IF(J6&lt;&gt;"Так","",IF(K6="","Оберіть стратегію",IF(AND(K6="Приймати",H6&gt;=17),"Критичний ризик не приймають",IF(AND(K6="Приймати",L6&lt;&gt;""),"Приймання: заходу не потрібно",IF(AND(K6&lt;&gt;"Приймати",L6=""),"Оберіть захід",IF(AND(K6="Передавати",L6&lt;&gt;"Страхування готівки та кіберризиків"),"Передача: оберіть страхування",IF(AND(K6="Уникати",L6&lt;&gt;"Призупинити сервіс чи функцію (уникнення, втрата бізнесу)"),"Уникнення: оберіть призупинення",IF(AND(L6&lt;&gt;"",M6+N6=0),"Захід не діє на цю категорію",IF(AND(L6&lt;&gt;"",INDEX('В08 Каталог'!$H$5:$H$19,MATCH(L6,'В08 Каталог'!$B$5:$B$19,0))="Ні"),"Захід недоступний","ОК")))))))))</f>
        <v/>
      </c>
      <c r="S6" s="12" t="inlineStr">
        <is>
          <t>Особливий актив В08. Оновити стару ОС неможливо — ізолюємо ПК в окремий VLAN.</t>
        </is>
      </c>
    </row>
    <row r="7">
      <c r="A7" s="14" t="n">
        <v>3</v>
      </c>
      <c r="B7" s="12" t="inlineStr">
        <is>
          <t>Облікові записи й паролі працівників</t>
        </is>
      </c>
      <c r="C7" s="12" t="inlineStr">
        <is>
          <t>Вішинг: «служба безпеки ГО» телефонує й виманює пароль та код, далі — вхід в АБС і вивантаження даних клієнтів</t>
        </is>
      </c>
      <c r="D7" s="12" t="inlineStr">
        <is>
          <t>3 спроби за рік, вхід в АБС лише за паролем, навчання не проводилось</t>
        </is>
      </c>
      <c r="E7" s="12" t="inlineStr">
        <is>
          <t>Соціальна інженерія</t>
        </is>
      </c>
      <c r="F7" s="22" t="n">
        <v>4</v>
      </c>
      <c r="G7" s="22" t="n">
        <v>5</v>
      </c>
      <c r="H7" s="23">
        <f>IF(OR(F7="",G7=""),"",F7*G7)</f>
        <v/>
      </c>
      <c r="I7" s="23">
        <f>IF(H7="","",IF(H7&lt;=4,"Низький",IF(H7&lt;=9,"Середній",IF(H7&lt;=16,"Високий","Критичний"))))</f>
        <v/>
      </c>
      <c r="J7" s="22" t="inlineStr">
        <is>
          <t>Так</t>
        </is>
      </c>
      <c r="K7" s="12" t="inlineStr">
        <is>
          <t>Зменшувати</t>
        </is>
      </c>
      <c r="L7" s="12" t="inlineStr">
        <is>
          <t>Багатофакторна автентифікація для адміністраторів і ДБО</t>
        </is>
      </c>
      <c r="M7" s="23">
        <f>IF(L7="",0,IFERROR(IF(ISNUMBER(SEARCH(E7,INDEX('В08 Каталог'!$D$5:$D$19,MATCH(L7,'В08 Каталог'!$B$5:$B$19,0)))),INDEX('В08 Каталог'!$E$5:$E$19,MATCH(L7,'В08 Каталог'!$B$5:$B$19,0)),0),0))</f>
        <v/>
      </c>
      <c r="N7" s="23">
        <f>IF(L7="",0,IFERROR(IF(ISNUMBER(SEARCH(E7,INDEX('В08 Каталог'!$D$5:$D$19,MATCH(L7,'В08 Каталог'!$B$5:$B$19,0)))),INDEX('В08 Каталог'!$F$5:$F$19,MATCH(L7,'В08 Каталог'!$B$5:$B$19,0)),0),0))</f>
        <v/>
      </c>
      <c r="O7" s="23">
        <f>IF(F7="","",MAX(1,F7-M7))</f>
        <v/>
      </c>
      <c r="P7" s="23">
        <f>IF(G7="","",MAX(1,G7-N7))</f>
        <v/>
      </c>
      <c r="Q7" s="23">
        <f>IF(O7="","",O7*P7)</f>
        <v/>
      </c>
      <c r="R7" s="14">
        <f>IF(J7&lt;&gt;"Так","",IF(K7="","Оберіть стратегію",IF(AND(K7="Приймати",H7&gt;=17),"Критичний ризик не приймають",IF(AND(K7="Приймати",L7&lt;&gt;""),"Приймання: заходу не потрібно",IF(AND(K7&lt;&gt;"Приймати",L7=""),"Оберіть захід",IF(AND(K7="Передавати",L7&lt;&gt;"Страхування готівки та кіберризиків"),"Передача: оберіть страхування",IF(AND(K7="Уникати",L7&lt;&gt;"Призупинити сервіс чи функцію (уникнення, втрата бізнесу)"),"Уникнення: оберіть призупинення",IF(AND(L7&lt;&gt;"",M7+N7=0),"Захід не діє на цю категорію",IF(AND(L7&lt;&gt;"",INDEX('В08 Каталог'!$H$5:$H$19,MATCH(L7,'В08 Каталог'!$B$5:$B$19,0))="Ні"),"Захід недоступний","ОК")))))))))</f>
        <v/>
      </c>
      <c r="S7" s="12" t="inlineStr">
        <is>
          <t>C = 5: витік даних клієнтів за шкалою — найвищий рівень.</t>
        </is>
      </c>
    </row>
    <row r="8">
      <c r="A8" s="14" t="n">
        <v>4</v>
      </c>
      <c r="B8" s="12" t="inlineStr">
        <is>
          <t>Вуличний банкомат (картки й ПІН клієнтів)</t>
        </is>
      </c>
      <c r="C8" s="12" t="inlineStr">
        <is>
          <t>Встановлення скімера й накладки на клавіатуру, масове копіювання карток</t>
        </is>
      </c>
      <c r="D8" s="12" t="inlineStr">
        <is>
          <t>Камери немає, накладок немає; 200 операцій на добу</t>
        </is>
      </c>
      <c r="E8" s="12" t="inlineStr">
        <is>
          <t>Шахрайство з картками</t>
        </is>
      </c>
      <c r="F8" s="22" t="n">
        <v>3</v>
      </c>
      <c r="G8" s="22" t="n">
        <v>4</v>
      </c>
      <c r="H8" s="23">
        <f>IF(OR(F8="",G8=""),"",F8*G8)</f>
        <v/>
      </c>
      <c r="I8" s="23">
        <f>IF(H8="","",IF(H8&lt;=4,"Низький",IF(H8&lt;=9,"Середній",IF(H8&lt;=16,"Високий","Критичний"))))</f>
        <v/>
      </c>
      <c r="J8" s="22" t="inlineStr">
        <is>
          <t>Так</t>
        </is>
      </c>
      <c r="K8" s="12" t="inlineStr">
        <is>
          <t>Зменшувати</t>
        </is>
      </c>
      <c r="L8" s="12" t="inlineStr">
        <is>
          <t>Антискімінгові накладки та датчик відкриття корпусу банкомата</t>
        </is>
      </c>
      <c r="M8" s="23">
        <f>IF(L8="",0,IFERROR(IF(ISNUMBER(SEARCH(E8,INDEX('В08 Каталог'!$D$5:$D$19,MATCH(L8,'В08 Каталог'!$B$5:$B$19,0)))),INDEX('В08 Каталог'!$E$5:$E$19,MATCH(L8,'В08 Каталог'!$B$5:$B$19,0)),0),0))</f>
        <v/>
      </c>
      <c r="N8" s="23">
        <f>IF(L8="",0,IFERROR(IF(ISNUMBER(SEARCH(E8,INDEX('В08 Каталог'!$D$5:$D$19,MATCH(L8,'В08 Каталог'!$B$5:$B$19,0)))),INDEX('В08 Каталог'!$F$5:$F$19,MATCH(L8,'В08 Каталог'!$B$5:$B$19,0)),0),0))</f>
        <v/>
      </c>
      <c r="O8" s="23">
        <f>IF(F8="","",MAX(1,F8-M8))</f>
        <v/>
      </c>
      <c r="P8" s="23">
        <f>IF(G8="","",MAX(1,G8-N8))</f>
        <v/>
      </c>
      <c r="Q8" s="23">
        <f>IF(O8="","",O8*P8)</f>
        <v/>
      </c>
      <c r="R8" s="14">
        <f>IF(J8&lt;&gt;"Так","",IF(K8="","Оберіть стратегію",IF(AND(K8="Приймати",H8&gt;=17),"Критичний ризик не приймають",IF(AND(K8="Приймати",L8&lt;&gt;""),"Приймання: заходу не потрібно",IF(AND(K8&lt;&gt;"Приймати",L8=""),"Оберіть захід",IF(AND(K8="Передавати",L8&lt;&gt;"Страхування готівки та кіберризиків"),"Передача: оберіть страхування",IF(AND(K8="Уникати",L8&lt;&gt;"Призупинити сервіс чи функцію (уникнення, втрата бізнесу)"),"Уникнення: оберіть призупинення",IF(AND(L8&lt;&gt;"",M8+N8=0),"Захід не діє на цю категорію",IF(AND(L8&lt;&gt;"",INDEX('В08 Каталог'!$H$5:$H$19,MATCH(L8,'В08 Каталог'!$B$5:$B$19,0))="Ні"),"Захід недоступний","ОК")))))))))</f>
        <v/>
      </c>
      <c r="S8" s="12" t="inlineStr">
        <is>
          <t>Освітлення добре (трохи стримує), але без камери скімер ставлять непомітно.</t>
        </is>
      </c>
    </row>
    <row r="9">
      <c r="A9" s="14" t="n">
        <v>5</v>
      </c>
      <c r="B9" s="12" t="inlineStr">
        <is>
          <t>Персональні дані й рахунки клієнтів в АБС</t>
        </is>
      </c>
      <c r="C9" s="12" t="inlineStr">
        <is>
          <t>Шифрувальник із будь-якого ПК поширюється плоскою мережею на каси й робочі місця АБС</t>
        </is>
      </c>
      <c r="D9" s="12" t="inlineStr">
        <is>
          <t>Одна плоска мережа, у ній же ПК без оновлень</t>
        </is>
      </c>
      <c r="E9" s="12" t="inlineStr">
        <is>
          <t>Мережа/ІТ</t>
        </is>
      </c>
      <c r="F9" s="22" t="n">
        <v>3</v>
      </c>
      <c r="G9" s="22" t="n">
        <v>4</v>
      </c>
      <c r="H9" s="23">
        <f>IF(OR(F9="",G9=""),"",F9*G9)</f>
        <v/>
      </c>
      <c r="I9" s="23">
        <f>IF(H9="","",IF(H9&lt;=4,"Низький",IF(H9&lt;=9,"Середній",IF(H9&lt;=16,"Високий","Критичний"))))</f>
        <v/>
      </c>
      <c r="J9" s="22" t="inlineStr">
        <is>
          <t>Так</t>
        </is>
      </c>
      <c r="K9" s="12" t="inlineStr">
        <is>
          <t>Зменшувати</t>
        </is>
      </c>
      <c r="L9" s="12" t="inlineStr">
        <is>
          <t>Сегментація мережі (VLAN, списки доступу)</t>
        </is>
      </c>
      <c r="M9" s="23">
        <f>IF(L9="",0,IFERROR(IF(ISNUMBER(SEARCH(E9,INDEX('В08 Каталог'!$D$5:$D$19,MATCH(L9,'В08 Каталог'!$B$5:$B$19,0)))),INDEX('В08 Каталог'!$E$5:$E$19,MATCH(L9,'В08 Каталог'!$B$5:$B$19,0)),0),0))</f>
        <v/>
      </c>
      <c r="N9" s="23">
        <f>IF(L9="",0,IFERROR(IF(ISNUMBER(SEARCH(E9,INDEX('В08 Каталог'!$D$5:$D$19,MATCH(L9,'В08 Каталог'!$B$5:$B$19,0)))),INDEX('В08 Каталог'!$F$5:$F$19,MATCH(L9,'В08 Каталог'!$B$5:$B$19,0)),0),0))</f>
        <v/>
      </c>
      <c r="O9" s="23">
        <f>IF(F9="","",MAX(1,F9-M9))</f>
        <v/>
      </c>
      <c r="P9" s="23">
        <f>IF(G9="","",MAX(1,G9-N9))</f>
        <v/>
      </c>
      <c r="Q9" s="23">
        <f>IF(O9="","",O9*P9)</f>
        <v/>
      </c>
      <c r="R9" s="14">
        <f>IF(J9&lt;&gt;"Так","",IF(K9="","Оберіть стратегію",IF(AND(K9="Приймати",H9&gt;=17),"Критичний ризик не приймають",IF(AND(K9="Приймати",L9&lt;&gt;""),"Приймання: заходу не потрібно",IF(AND(K9&lt;&gt;"Приймати",L9=""),"Оберіть захід",IF(AND(K9="Передавати",L9&lt;&gt;"Страхування готівки та кіберризиків"),"Передача: оберіть страхування",IF(AND(K9="Уникати",L9&lt;&gt;"Призупинити сервіс чи функцію (уникнення, втрата бізнесу)"),"Уникнення: оберіть призупинення",IF(AND(L9&lt;&gt;"",M9+N9=0),"Захід не діє на цю категорію",IF(AND(L9&lt;&gt;"",INDEX('В08 Каталог'!$H$5:$H$19,MATCH(L9,'В08 Каталог'!$B$5:$B$19,0))="Ні"),"Захід недоступний","ОК")))))))))</f>
        <v/>
      </c>
      <c r="S9" s="12" t="inlineStr">
        <is>
          <t>Той самий захід M7 (оплачено один раз) закриває і ризик №2.</t>
        </is>
      </c>
    </row>
    <row r="10">
      <c r="A10" s="14" t="n">
        <v>6</v>
      </c>
      <c r="B10" s="12" t="inlineStr">
        <is>
          <t>Готівка у вуличному банкоматі</t>
        </is>
      </c>
      <c r="C10" s="12" t="inlineStr">
        <is>
          <t>Злам корпусу банкомата для вилучення готівки</t>
        </is>
      </c>
      <c r="D10" s="12" t="inlineStr">
        <is>
          <t>Камери немає</t>
        </is>
      </c>
      <c r="E10" s="12" t="inlineStr">
        <is>
          <t>Фізичний доступ</t>
        </is>
      </c>
      <c r="F10" s="22" t="n">
        <v>2</v>
      </c>
      <c r="G10" s="22" t="n">
        <v>3</v>
      </c>
      <c r="H10" s="23">
        <f>IF(OR(F10="",G10=""),"",F10*G10)</f>
        <v/>
      </c>
      <c r="I10" s="23">
        <f>IF(H10="","",IF(H10&lt;=4,"Низький",IF(H10&lt;=9,"Середній",IF(H10&lt;=16,"Високий","Критичний"))))</f>
        <v/>
      </c>
      <c r="J10" s="22" t="n"/>
      <c r="K10" s="12" t="inlineStr">
        <is>
          <t>Зменшувати</t>
        </is>
      </c>
      <c r="L10" s="12" t="inlineStr">
        <is>
          <t>Освітлення та камера біля вуличного банкомата</t>
        </is>
      </c>
      <c r="M10" s="23">
        <f>IF(L10="",0,IFERROR(IF(ISNUMBER(SEARCH(E10,INDEX('В08 Каталог'!$D$5:$D$19,MATCH(L10,'В08 Каталог'!$B$5:$B$19,0)))),INDEX('В08 Каталог'!$E$5:$E$19,MATCH(L10,'В08 Каталог'!$B$5:$B$19,0)),0),0))</f>
        <v/>
      </c>
      <c r="N10" s="23">
        <f>IF(L10="",0,IFERROR(IF(ISNUMBER(SEARCH(E10,INDEX('В08 Каталог'!$D$5:$D$19,MATCH(L10,'В08 Каталог'!$B$5:$B$19,0)))),INDEX('В08 Каталог'!$F$5:$F$19,MATCH(L10,'В08 Каталог'!$B$5:$B$19,0)),0),0))</f>
        <v/>
      </c>
      <c r="O10" s="23">
        <f>IF(F10="","",MAX(1,F10-M10))</f>
        <v/>
      </c>
      <c r="P10" s="23">
        <f>IF(G10="","",MAX(1,G10-N10))</f>
        <v/>
      </c>
      <c r="Q10" s="23">
        <f>IF(O10="","",O10*P10)</f>
        <v/>
      </c>
      <c r="R10" s="14">
        <f>IF(J10&lt;&gt;"Так","",IF(K10="","Оберіть стратегію",IF(AND(K10="Приймати",H10&gt;=17),"Критичний ризик не приймають",IF(AND(K10="Приймати",L10&lt;&gt;""),"Приймання: заходу не потрібно",IF(AND(K10&lt;&gt;"Приймати",L10=""),"Оберіть захід",IF(AND(K10="Передавати",L10&lt;&gt;"Страхування готівки та кіберризиків"),"Передача: оберіть страхування",IF(AND(K10="Уникати",L10&lt;&gt;"Призупинити сервіс чи функцію (уникнення, втрата бізнесу)"),"Уникнення: оберіть призупинення",IF(AND(L10&lt;&gt;"",M10+N10=0),"Захід не діє на цю категорію",IF(AND(L10&lt;&gt;"",INDEX('В08 Каталог'!$H$5:$H$19,MATCH(L10,'В08 Каталог'!$B$5:$B$19,0))="Ні"),"Захід недоступний","ОК")))))))))</f>
        <v/>
      </c>
      <c r="S10" s="12" t="inlineStr">
        <is>
          <t>C = 3: до 190 тис. грн (50–250 тис.). Освітлення добре, тому P = 2.</t>
        </is>
      </c>
    </row>
    <row r="11">
      <c r="A11" s="14" t="n">
        <v>7</v>
      </c>
      <c r="B11" s="12" t="inlineStr">
        <is>
          <t>Канали зв'язку з головним офісом (два)</t>
        </is>
      </c>
      <c r="C11" s="12" t="inlineStr">
        <is>
          <t>Відмова каналу до головного офісу</t>
        </is>
      </c>
      <c r="D11" s="12" t="inlineStr">
        <is>
          <t>Залежність від провайдерів</t>
        </is>
      </c>
      <c r="E11" s="12" t="inlineStr">
        <is>
          <t>Живлення і зв'язок</t>
        </is>
      </c>
      <c r="F11" s="22" t="n">
        <v>2</v>
      </c>
      <c r="G11" s="22" t="n">
        <v>3</v>
      </c>
      <c r="H11" s="23">
        <f>IF(OR(F11="",G11=""),"",F11*G11)</f>
        <v/>
      </c>
      <c r="I11" s="23">
        <f>IF(H11="","",IF(H11&lt;=4,"Низький",IF(H11&lt;=9,"Середній",IF(H11&lt;=16,"Високий","Критичний"))))</f>
        <v/>
      </c>
      <c r="J11" s="22" t="n"/>
      <c r="K11" s="12" t="inlineStr">
        <is>
          <t>Приймати</t>
        </is>
      </c>
      <c r="L11" s="12" t="n"/>
      <c r="M11" s="23">
        <f>IF(L11="",0,IFERROR(IF(ISNUMBER(SEARCH(E11,INDEX('В08 Каталог'!$D$5:$D$19,MATCH(L11,'В08 Каталог'!$B$5:$B$19,0)))),INDEX('В08 Каталог'!$E$5:$E$19,MATCH(L11,'В08 Каталог'!$B$5:$B$19,0)),0),0))</f>
        <v/>
      </c>
      <c r="N11" s="23">
        <f>IF(L11="",0,IFERROR(IF(ISNUMBER(SEARCH(E11,INDEX('В08 Каталог'!$D$5:$D$19,MATCH(L11,'В08 Каталог'!$B$5:$B$19,0)))),INDEX('В08 Каталог'!$F$5:$F$19,MATCH(L11,'В08 Каталог'!$B$5:$B$19,0)),0),0))</f>
        <v/>
      </c>
      <c r="O11" s="23">
        <f>IF(F11="","",MAX(1,F11-M11))</f>
        <v/>
      </c>
      <c r="P11" s="23">
        <f>IF(G11="","",MAX(1,G11-N11))</f>
        <v/>
      </c>
      <c r="Q11" s="23">
        <f>IF(O11="","",O11*P11)</f>
        <v/>
      </c>
      <c r="R11" s="14">
        <f>IF(J11&lt;&gt;"Так","",IF(K11="","Оберіть стратегію",IF(AND(K11="Приймати",H11&gt;=17),"Критичний ризик не приймають",IF(AND(K11="Приймати",L11&lt;&gt;""),"Приймання: заходу не потрібно",IF(AND(K11&lt;&gt;"Приймати",L11=""),"Оберіть захід",IF(AND(K11="Передавати",L11&lt;&gt;"Страхування готівки та кіберризиків"),"Передача: оберіть страхування",IF(AND(K11="Уникати",L11&lt;&gt;"Призупинити сервіс чи функцію (уникнення, втрата бізнесу)"),"Уникнення: оберіть призупинення",IF(AND(L11&lt;&gt;"",M11+N11=0),"Захід не діє на цю категорію",IF(AND(L11&lt;&gt;"",INDEX('В08 Каталог'!$H$5:$H$19,MATCH(L11,'В08 Каталог'!$B$5:$B$19,0))="Ні"),"Захід недоступний","ОК")))))))))</f>
        <v/>
      </c>
      <c r="S11" s="12" t="inlineStr">
        <is>
          <t>Два канали: одночасна відмова малоймовірна.</t>
        </is>
      </c>
    </row>
    <row r="12">
      <c r="A12" s="14" t="n">
        <v>8</v>
      </c>
      <c r="B12" s="12" t="inlineStr">
        <is>
          <t>Робочі місця кас і менеджерів (ПК)</t>
        </is>
      </c>
      <c r="C12" s="12" t="inlineStr">
        <is>
          <t>Раптове вимкнення світла під час операції: втрата незбереженої операції, збої дисків і БЖ</t>
        </is>
      </c>
      <c r="D12" s="12" t="inlineStr">
        <is>
          <t>ПК без ДБЖ, відключення щодня</t>
        </is>
      </c>
      <c r="E12" s="12" t="inlineStr">
        <is>
          <t>Живлення і зв'язок</t>
        </is>
      </c>
      <c r="F12" s="22" t="n">
        <v>5</v>
      </c>
      <c r="G12" s="22" t="n">
        <v>2</v>
      </c>
      <c r="H12" s="23">
        <f>IF(OR(F12="",G12=""),"",F12*G12)</f>
        <v/>
      </c>
      <c r="I12" s="23">
        <f>IF(H12="","",IF(H12&lt;=4,"Низький",IF(H12&lt;=9,"Середній",IF(H12&lt;=16,"Високий","Критичний"))))</f>
        <v/>
      </c>
      <c r="J12" s="22" t="n"/>
      <c r="K12" s="12" t="inlineStr">
        <is>
          <t>Зменшувати</t>
        </is>
      </c>
      <c r="L12" s="12" t="inlineStr">
        <is>
          <t>Генератор і ДБЖ</t>
        </is>
      </c>
      <c r="M12" s="23">
        <f>IF(L12="",0,IFERROR(IF(ISNUMBER(SEARCH(E12,INDEX('В08 Каталог'!$D$5:$D$19,MATCH(L12,'В08 Каталог'!$B$5:$B$19,0)))),INDEX('В08 Каталог'!$E$5:$E$19,MATCH(L12,'В08 Каталог'!$B$5:$B$19,0)),0),0))</f>
        <v/>
      </c>
      <c r="N12" s="23">
        <f>IF(L12="",0,IFERROR(IF(ISNUMBER(SEARCH(E12,INDEX('В08 Каталог'!$D$5:$D$19,MATCH(L12,'В08 Каталог'!$B$5:$B$19,0)))),INDEX('В08 Каталог'!$F$5:$F$19,MATCH(L12,'В08 Каталог'!$B$5:$B$19,0)),0),0))</f>
        <v/>
      </c>
      <c r="O12" s="23">
        <f>IF(F12="","",MAX(1,F12-M12))</f>
        <v/>
      </c>
      <c r="P12" s="23">
        <f>IF(G12="","",MAX(1,G12-N12))</f>
        <v/>
      </c>
      <c r="Q12" s="23">
        <f>IF(O12="","",O12*P12)</f>
        <v/>
      </c>
      <c r="R12" s="14">
        <f>IF(J12&lt;&gt;"Так","",IF(K12="","Оберіть стратегію",IF(AND(K12="Приймати",H12&gt;=17),"Критичний ризик не приймають",IF(AND(K12="Приймати",L12&lt;&gt;""),"Приймання: заходу не потрібно",IF(AND(K12&lt;&gt;"Приймати",L12=""),"Оберіть захід",IF(AND(K12="Передавати",L12&lt;&gt;"Страхування готівки та кіберризиків"),"Передача: оберіть страхування",IF(AND(K12="Уникати",L12&lt;&gt;"Призупинити сервіс чи функцію (уникнення, втрата бізнесу)"),"Уникнення: оберіть призупинення",IF(AND(L12&lt;&gt;"",M12+N12=0),"Захід не діє на цю категорію",IF(AND(L12&lt;&gt;"",INDEX('В08 Каталог'!$H$5:$H$19,MATCH(L12,'В08 Каталог'!$B$5:$B$19,0))="Ні"),"Захід недоступний","ОК")))))))))</f>
        <v/>
      </c>
      <c r="S12" s="12" t="inlineStr">
        <is>
          <t>Генератор і ДБЖ із ризику №1 закривають і цей ризик.</t>
        </is>
      </c>
    </row>
    <row r="13">
      <c r="A13" s="14" t="n">
        <v>9</v>
      </c>
      <c r="B13" s="12" t="inlineStr">
        <is>
          <t>Облікові записи й паролі працівників</t>
        </is>
      </c>
      <c r="C13" s="12" t="inlineStr">
        <is>
          <t>Зловживання правами недобросовісним співробітником</t>
        </is>
      </c>
      <c r="D13" s="12" t="inlineStr">
        <is>
          <t>Права адміністратора в кількох працівників, журнали не переглядають</t>
        </is>
      </c>
      <c r="E13" s="12" t="inlineStr">
        <is>
          <t>Персонал і процеси</t>
        </is>
      </c>
      <c r="F13" s="22" t="n">
        <v>2</v>
      </c>
      <c r="G13" s="22" t="n">
        <v>4</v>
      </c>
      <c r="H13" s="23">
        <f>IF(OR(F13="",G13=""),"",F13*G13)</f>
        <v/>
      </c>
      <c r="I13" s="23">
        <f>IF(H13="","",IF(H13&lt;=4,"Низький",IF(H13&lt;=9,"Середній",IF(H13&lt;=16,"Високий","Критичний"))))</f>
        <v/>
      </c>
      <c r="J13" s="22" t="n"/>
      <c r="K13" s="12" t="inlineStr">
        <is>
          <t>Приймати</t>
        </is>
      </c>
      <c r="L13" s="12" t="n"/>
      <c r="M13" s="23">
        <f>IF(L13="",0,IFERROR(IF(ISNUMBER(SEARCH(E13,INDEX('В08 Каталог'!$D$5:$D$19,MATCH(L13,'В08 Каталог'!$B$5:$B$19,0)))),INDEX('В08 Каталог'!$E$5:$E$19,MATCH(L13,'В08 Каталог'!$B$5:$B$19,0)),0),0))</f>
        <v/>
      </c>
      <c r="N13" s="23">
        <f>IF(L13="",0,IFERROR(IF(ISNUMBER(SEARCH(E13,INDEX('В08 Каталог'!$D$5:$D$19,MATCH(L13,'В08 Каталог'!$B$5:$B$19,0)))),INDEX('В08 Каталог'!$F$5:$F$19,MATCH(L13,'В08 Каталог'!$B$5:$B$19,0)),0),0))</f>
        <v/>
      </c>
      <c r="O13" s="23">
        <f>IF(F13="","",MAX(1,F13-M13))</f>
        <v/>
      </c>
      <c r="P13" s="23">
        <f>IF(G13="","",MAX(1,G13-N13))</f>
        <v/>
      </c>
      <c r="Q13" s="23">
        <f>IF(O13="","",O13*P13)</f>
        <v/>
      </c>
      <c r="R13" s="14">
        <f>IF(J13&lt;&gt;"Так","",IF(K13="","Оберіть стратегію",IF(AND(K13="Приймати",H13&gt;=17),"Критичний ризик не приймають",IF(AND(K13="Приймати",L13&lt;&gt;""),"Приймання: заходу не потрібно",IF(AND(K13&lt;&gt;"Приймати",L13=""),"Оберіть захід",IF(AND(K13="Передавати",L13&lt;&gt;"Страхування готівки та кіберризиків"),"Передача: оберіть страхування",IF(AND(K13="Уникати",L13&lt;&gt;"Призупинити сервіс чи функцію (уникнення, втрата бізнесу)"),"Уникнення: оберіть призупинення",IF(AND(L13&lt;&gt;"",M13+N13=0),"Захід не діє на цю категорію",IF(AND(L13&lt;&gt;"",INDEX('В08 Каталог'!$H$5:$H$19,MATCH(L13,'В08 Каталог'!$B$5:$B$19,0))="Ні"),"Захід недоступний","ОК")))))))))</f>
        <v/>
      </c>
      <c r="S13" s="12" t="inlineStr">
        <is>
          <t>Середній рівень; резерв бюджету — на нову обставину.</t>
        </is>
      </c>
    </row>
    <row r="14">
      <c r="A14" s="14" t="n">
        <v>10</v>
      </c>
      <c r="B14" s="12" t="inlineStr">
        <is>
          <t>Серверна шафа (комутатори, маршрутизатор)</t>
        </is>
      </c>
      <c r="C14" s="12" t="inlineStr">
        <is>
          <t>Несанкціонований вхід у серверну й підключення до обладнання</t>
        </is>
      </c>
      <c r="D14" s="12" t="inlineStr">
        <is>
          <t>Замок серверної керує вразлива СКД, журналу входу немає</t>
        </is>
      </c>
      <c r="E14" s="12" t="inlineStr">
        <is>
          <t>Фізичний доступ</t>
        </is>
      </c>
      <c r="F14" s="22" t="n">
        <v>2</v>
      </c>
      <c r="G14" s="22" t="n">
        <v>4</v>
      </c>
      <c r="H14" s="23">
        <f>IF(OR(F14="",G14=""),"",F14*G14)</f>
        <v/>
      </c>
      <c r="I14" s="23">
        <f>IF(H14="","",IF(H14&lt;=4,"Низький",IF(H14&lt;=9,"Середній",IF(H14&lt;=16,"Високий","Критичний"))))</f>
        <v/>
      </c>
      <c r="J14" s="22" t="n"/>
      <c r="K14" s="12" t="inlineStr">
        <is>
          <t>Зменшувати</t>
        </is>
      </c>
      <c r="L14" s="12" t="inlineStr">
        <is>
          <t>Електронні замки та журнал входу в серверну</t>
        </is>
      </c>
      <c r="M14" s="23">
        <f>IF(L14="",0,IFERROR(IF(ISNUMBER(SEARCH(E14,INDEX('В08 Каталог'!$D$5:$D$19,MATCH(L14,'В08 Каталог'!$B$5:$B$19,0)))),INDEX('В08 Каталог'!$E$5:$E$19,MATCH(L14,'В08 Каталог'!$B$5:$B$19,0)),0),0))</f>
        <v/>
      </c>
      <c r="N14" s="23">
        <f>IF(L14="",0,IFERROR(IF(ISNUMBER(SEARCH(E14,INDEX('В08 Каталог'!$D$5:$D$19,MATCH(L14,'В08 Каталог'!$B$5:$B$19,0)))),INDEX('В08 Каталог'!$F$5:$F$19,MATCH(L14,'В08 Каталог'!$B$5:$B$19,0)),0),0))</f>
        <v/>
      </c>
      <c r="O14" s="23">
        <f>IF(F14="","",MAX(1,F14-M14))</f>
        <v/>
      </c>
      <c r="P14" s="23">
        <f>IF(G14="","",MAX(1,G14-N14))</f>
        <v/>
      </c>
      <c r="Q14" s="23">
        <f>IF(O14="","",O14*P14)</f>
        <v/>
      </c>
      <c r="R14" s="14">
        <f>IF(J14&lt;&gt;"Так","",IF(K14="","Оберіть стратегію",IF(AND(K14="Приймати",H14&gt;=17),"Критичний ризик не приймають",IF(AND(K14="Приймати",L14&lt;&gt;""),"Приймання: заходу не потрібно",IF(AND(K14&lt;&gt;"Приймати",L14=""),"Оберіть захід",IF(AND(K14="Передавати",L14&lt;&gt;"Страхування готівки та кіберризиків"),"Передача: оберіть страхування",IF(AND(K14="Уникати",L14&lt;&gt;"Призупинити сервіс чи функцію (уникнення, втрата бізнесу)"),"Уникнення: оберіть призупинення",IF(AND(L14&lt;&gt;"",M14+N14=0),"Захід не діє на цю категорію",IF(AND(L14&lt;&gt;"",INDEX('В08 Каталог'!$H$5:$H$19,MATCH(L14,'В08 Каталог'!$B$5:$B$19,0))="Ні"),"Захід недоступний","ОК")))))))))</f>
        <v/>
      </c>
      <c r="S14" s="12" t="inlineStr">
        <is>
          <t>Журнал входу показує, хто й коли заходив.</t>
        </is>
      </c>
    </row>
    <row r="15">
      <c r="A15" s="14" t="n">
        <v>11</v>
      </c>
      <c r="B15" s="12" t="inlineStr">
        <is>
          <t>Банкомат у залі та POS-термінали (4 шт.)</t>
        </is>
      </c>
      <c r="C15" s="12" t="inlineStr">
        <is>
          <t>Підміна або модифікація POS-термінала (шимер)</t>
        </is>
      </c>
      <c r="D15" s="12" t="inlineStr">
        <is>
          <t>Пломби не перевіряють</t>
        </is>
      </c>
      <c r="E15" s="12" t="inlineStr">
        <is>
          <t>Шахрайство з картками</t>
        </is>
      </c>
      <c r="F15" s="22" t="n">
        <v>2</v>
      </c>
      <c r="G15" s="22" t="n">
        <v>3</v>
      </c>
      <c r="H15" s="23">
        <f>IF(OR(F15="",G15=""),"",F15*G15)</f>
        <v/>
      </c>
      <c r="I15" s="23">
        <f>IF(H15="","",IF(H15&lt;=4,"Низький",IF(H15&lt;=9,"Середній",IF(H15&lt;=16,"Високий","Критичний"))))</f>
        <v/>
      </c>
      <c r="J15" s="22" t="n"/>
      <c r="K15" s="12" t="inlineStr">
        <is>
          <t>Приймати</t>
        </is>
      </c>
      <c r="L15" s="12" t="n"/>
      <c r="M15" s="23">
        <f>IF(L15="",0,IFERROR(IF(ISNUMBER(SEARCH(E15,INDEX('В08 Каталог'!$D$5:$D$19,MATCH(L15,'В08 Каталог'!$B$5:$B$19,0)))),INDEX('В08 Каталог'!$E$5:$E$19,MATCH(L15,'В08 Каталог'!$B$5:$B$19,0)),0),0))</f>
        <v/>
      </c>
      <c r="N15" s="23">
        <f>IF(L15="",0,IFERROR(IF(ISNUMBER(SEARCH(E15,INDEX('В08 Каталог'!$D$5:$D$19,MATCH(L15,'В08 Каталог'!$B$5:$B$19,0)))),INDEX('В08 Каталог'!$F$5:$F$19,MATCH(L15,'В08 Каталог'!$B$5:$B$19,0)),0),0))</f>
        <v/>
      </c>
      <c r="O15" s="23">
        <f>IF(F15="","",MAX(1,F15-M15))</f>
        <v/>
      </c>
      <c r="P15" s="23">
        <f>IF(G15="","",MAX(1,G15-N15))</f>
        <v/>
      </c>
      <c r="Q15" s="23">
        <f>IF(O15="","",O15*P15)</f>
        <v/>
      </c>
      <c r="R15" s="14">
        <f>IF(J15&lt;&gt;"Так","",IF(K15="","Оберіть стратегію",IF(AND(K15="Приймати",H15&gt;=17),"Критичний ризик не приймають",IF(AND(K15="Приймати",L15&lt;&gt;""),"Приймання: заходу не потрібно",IF(AND(K15&lt;&gt;"Приймати",L15=""),"Оберіть захід",IF(AND(K15="Передавати",L15&lt;&gt;"Страхування готівки та кіберризиків"),"Передача: оберіть страхування",IF(AND(K15="Уникати",L15&lt;&gt;"Призупинити сервіс чи функцію (уникнення, втрата бізнесу)"),"Уникнення: оберіть призупинення",IF(AND(L15&lt;&gt;"",M15+N15=0),"Захід не діє на цю категорію",IF(AND(L15&lt;&gt;"",INDEX('В08 Каталог'!$H$5:$H$19,MATCH(L15,'В08 Каталог'!$B$5:$B$19,0))="Ні"),"Захід недоступний","ОК")))))))))</f>
        <v/>
      </c>
      <c r="S15" s="12" t="inlineStr">
        <is>
          <t>Термінали в залі на очах у касирів.</t>
        </is>
      </c>
    </row>
    <row r="16">
      <c r="A16" s="14" t="n">
        <v>12</v>
      </c>
      <c r="B16" s="12" t="inlineStr">
        <is>
          <t>Репутація відділення й довіра клієнтів</t>
        </is>
      </c>
      <c r="C16" s="12" t="inlineStr">
        <is>
          <t>Фішингові SMS і дзвінки клієнтам від імені відділення</t>
        </is>
      </c>
      <c r="D16" s="12" t="inlineStr">
        <is>
          <t>Клієнтів не попереджають про шахрайські схеми</t>
        </is>
      </c>
      <c r="E16" s="12" t="inlineStr">
        <is>
          <t>Соціальна інженерія</t>
        </is>
      </c>
      <c r="F16" s="22" t="n">
        <v>3</v>
      </c>
      <c r="G16" s="22" t="n">
        <v>3</v>
      </c>
      <c r="H16" s="23">
        <f>IF(OR(F16="",G16=""),"",F16*G16)</f>
        <v/>
      </c>
      <c r="I16" s="23">
        <f>IF(H16="","",IF(H16&lt;=4,"Низький",IF(H16&lt;=9,"Середній",IF(H16&lt;=16,"Високий","Критичний"))))</f>
        <v/>
      </c>
      <c r="J16" s="22" t="n"/>
      <c r="K16" s="12" t="inlineStr">
        <is>
          <t>Приймати</t>
        </is>
      </c>
      <c r="L16" s="12" t="n"/>
      <c r="M16" s="23">
        <f>IF(L16="",0,IFERROR(IF(ISNUMBER(SEARCH(E16,INDEX('В08 Каталог'!$D$5:$D$19,MATCH(L16,'В08 Каталог'!$B$5:$B$19,0)))),INDEX('В08 Каталог'!$E$5:$E$19,MATCH(L16,'В08 Каталог'!$B$5:$B$19,0)),0),0))</f>
        <v/>
      </c>
      <c r="N16" s="23">
        <f>IF(L16="",0,IFERROR(IF(ISNUMBER(SEARCH(E16,INDEX('В08 Каталог'!$D$5:$D$19,MATCH(L16,'В08 Каталог'!$B$5:$B$19,0)))),INDEX('В08 Каталог'!$F$5:$F$19,MATCH(L16,'В08 Каталог'!$B$5:$B$19,0)),0),0))</f>
        <v/>
      </c>
      <c r="O16" s="23">
        <f>IF(F16="","",MAX(1,F16-M16))</f>
        <v/>
      </c>
      <c r="P16" s="23">
        <f>IF(G16="","",MAX(1,G16-N16))</f>
        <v/>
      </c>
      <c r="Q16" s="23">
        <f>IF(O16="","",O16*P16)</f>
        <v/>
      </c>
      <c r="R16" s="14">
        <f>IF(J16&lt;&gt;"Так","",IF(K16="","Оберіть стратегію",IF(AND(K16="Приймати",H16&gt;=17),"Критичний ризик не приймають",IF(AND(K16="Приймати",L16&lt;&gt;""),"Приймання: заходу не потрібно",IF(AND(K16&lt;&gt;"Приймати",L16=""),"Оберіть захід",IF(AND(K16="Передавати",L16&lt;&gt;"Страхування готівки та кіберризиків"),"Передача: оберіть страхування",IF(AND(K16="Уникати",L16&lt;&gt;"Призупинити сервіс чи функцію (уникнення, втрата бізнесу)"),"Уникнення: оберіть призупинення",IF(AND(L16&lt;&gt;"",M16+N16=0),"Захід не діє на цю категорію",IF(AND(L16&lt;&gt;"",INDEX('В08 Каталог'!$H$5:$H$19,MATCH(L16,'В08 Каталог'!$B$5:$B$19,0))="Ні"),"Захід недоступний","ОК")))))))))</f>
        <v/>
      </c>
      <c r="S16" s="12" t="inlineStr">
        <is>
          <t>Заходи з каталогу не діють на клієнтів напряму; інформування — без бюджету.</t>
        </is>
      </c>
    </row>
    <row r="17">
      <c r="A17" s="14" t="n">
        <v>13</v>
      </c>
      <c r="B17" s="12" t="inlineStr">
        <is>
          <t>Готівка в касах і сховищі</t>
        </is>
      </c>
      <c r="C17" s="12" t="inlineStr">
        <is>
          <t>Пограбування каси під час відключення світла</t>
        </is>
      </c>
      <c r="D17" s="12" t="inlineStr">
        <is>
          <t>Сигналізація й камери в залі без резервного живлення</t>
        </is>
      </c>
      <c r="E17" s="12" t="inlineStr">
        <is>
          <t>Фізичний доступ</t>
        </is>
      </c>
      <c r="F17" s="22" t="n">
        <v>2</v>
      </c>
      <c r="G17" s="22" t="n">
        <v>4</v>
      </c>
      <c r="H17" s="23">
        <f>IF(OR(F17="",G17=""),"",F17*G17)</f>
        <v/>
      </c>
      <c r="I17" s="23">
        <f>IF(H17="","",IF(H17&lt;=4,"Низький",IF(H17&lt;=9,"Середній",IF(H17&lt;=16,"Високий","Критичний"))))</f>
        <v/>
      </c>
      <c r="J17" s="22" t="n"/>
      <c r="K17" s="12" t="inlineStr">
        <is>
          <t>Приймати</t>
        </is>
      </c>
      <c r="L17" s="12" t="n"/>
      <c r="M17" s="23">
        <f>IF(L17="",0,IFERROR(IF(ISNUMBER(SEARCH(E17,INDEX('В08 Каталог'!$D$5:$D$19,MATCH(L17,'В08 Каталог'!$B$5:$B$19,0)))),INDEX('В08 Каталог'!$E$5:$E$19,MATCH(L17,'В08 Каталог'!$B$5:$B$19,0)),0),0))</f>
        <v/>
      </c>
      <c r="N17" s="23">
        <f>IF(L17="",0,IFERROR(IF(ISNUMBER(SEARCH(E17,INDEX('В08 Каталог'!$D$5:$D$19,MATCH(L17,'В08 Каталог'!$B$5:$B$19,0)))),INDEX('В08 Каталог'!$F$5:$F$19,MATCH(L17,'В08 Каталог'!$B$5:$B$19,0)),0),0))</f>
        <v/>
      </c>
      <c r="O17" s="23">
        <f>IF(F17="","",MAX(1,F17-M17))</f>
        <v/>
      </c>
      <c r="P17" s="23">
        <f>IF(G17="","",MAX(1,G17-N17))</f>
        <v/>
      </c>
      <c r="Q17" s="23">
        <f>IF(O17="","",O17*P17)</f>
        <v/>
      </c>
      <c r="R17" s="14">
        <f>IF(J17&lt;&gt;"Так","",IF(K17="","Оберіть стратегію",IF(AND(K17="Приймати",H17&gt;=17),"Критичний ризик не приймають",IF(AND(K17="Приймати",L17&lt;&gt;""),"Приймання: заходу не потрібно",IF(AND(K17&lt;&gt;"Приймати",L17=""),"Оберіть захід",IF(AND(K17="Передавати",L17&lt;&gt;"Страхування готівки та кіберризиків"),"Передача: оберіть страхування",IF(AND(K17="Уникати",L17&lt;&gt;"Призупинити сервіс чи функцію (уникнення, втрата бізнесу)"),"Уникнення: оберіть призупинення",IF(AND(L17&lt;&gt;"",M17+N17=0),"Захід не діє на цю категорію",IF(AND(L17&lt;&gt;"",INDEX('В08 Каталог'!$H$5:$H$19,MATCH(L17,'В08 Каталог'!$B$5:$B$19,0))="Ні"),"Захід недоступний","ОК")))))))))</f>
        <v/>
      </c>
      <c r="S17" s="12" t="inlineStr">
        <is>
          <t>Генератор (№1) частково знижує і цей ризик.</t>
        </is>
      </c>
    </row>
    <row r="18">
      <c r="A18" s="14" t="n">
        <v>14</v>
      </c>
      <c r="B18" s="12" t="inlineStr">
        <is>
          <t>Працівники відділення (12 осіб)</t>
        </is>
      </c>
      <c r="C18" s="12" t="inlineStr">
        <is>
          <t>Касир за «дзвінком із ГО» змінює реквізити чи проводить платіж без перевірки</t>
        </is>
      </c>
      <c r="D18" s="12" t="inlineStr">
        <is>
          <t>Немає правила зворотного дзвінка, навчання не було</t>
        </is>
      </c>
      <c r="E18" s="12" t="inlineStr">
        <is>
          <t>Соціальна інженерія</t>
        </is>
      </c>
      <c r="F18" s="22" t="n">
        <v>3</v>
      </c>
      <c r="G18" s="22" t="n">
        <v>3</v>
      </c>
      <c r="H18" s="23">
        <f>IF(OR(F18="",G18=""),"",F18*G18)</f>
        <v/>
      </c>
      <c r="I18" s="23">
        <f>IF(H18="","",IF(H18&lt;=4,"Низький",IF(H18&lt;=9,"Середній",IF(H18&lt;=16,"Високий","Критичний"))))</f>
        <v/>
      </c>
      <c r="J18" s="22" t="n"/>
      <c r="K18" s="12" t="inlineStr">
        <is>
          <t>Зменшувати</t>
        </is>
      </c>
      <c r="L18" s="12" t="inlineStr">
        <is>
          <t>Навчання персоналу з фішингу та вішингу</t>
        </is>
      </c>
      <c r="M18" s="23">
        <f>IF(L18="",0,IFERROR(IF(ISNUMBER(SEARCH(E18,INDEX('В08 Каталог'!$D$5:$D$19,MATCH(L18,'В08 Каталог'!$B$5:$B$19,0)))),INDEX('В08 Каталог'!$E$5:$E$19,MATCH(L18,'В08 Каталог'!$B$5:$B$19,0)),0),0))</f>
        <v/>
      </c>
      <c r="N18" s="23">
        <f>IF(L18="",0,IFERROR(IF(ISNUMBER(SEARCH(E18,INDEX('В08 Каталог'!$D$5:$D$19,MATCH(L18,'В08 Каталог'!$B$5:$B$19,0)))),INDEX('В08 Каталог'!$F$5:$F$19,MATCH(L18,'В08 Каталог'!$B$5:$B$19,0)),0),0))</f>
        <v/>
      </c>
      <c r="O18" s="23">
        <f>IF(F18="","",MAX(1,F18-M18))</f>
        <v/>
      </c>
      <c r="P18" s="23">
        <f>IF(G18="","",MAX(1,G18-N18))</f>
        <v/>
      </c>
      <c r="Q18" s="23">
        <f>IF(O18="","",O18*P18)</f>
        <v/>
      </c>
      <c r="R18" s="14">
        <f>IF(J18&lt;&gt;"Так","",IF(K18="","Оберіть стратегію",IF(AND(K18="Приймати",H18&gt;=17),"Критичний ризик не приймають",IF(AND(K18="Приймати",L18&lt;&gt;""),"Приймання: заходу не потрібно",IF(AND(K18&lt;&gt;"Приймати",L18=""),"Оберіть захід",IF(AND(K18="Передавати",L18&lt;&gt;"Страхування готівки та кіберризиків"),"Передача: оберіть страхування",IF(AND(K18="Уникати",L18&lt;&gt;"Призупинити сервіс чи функцію (уникнення, втрата бізнесу)"),"Уникнення: оберіть призупинення",IF(AND(L18&lt;&gt;"",M18+N18=0),"Захід не діє на цю категорію",IF(AND(L18&lt;&gt;"",INDEX('В08 Каталог'!$H$5:$H$19,MATCH(L18,'В08 Каталог'!$B$5:$B$19,0))="Ні"),"Захід недоступний","ОК")))))))))</f>
        <v/>
      </c>
      <c r="S18" s="12" t="inlineStr">
        <is>
          <t>Навчання з вішингу: 3 спроби за рік показують, що це реально.</t>
        </is>
      </c>
    </row>
    <row r="19">
      <c r="A19" s="14" t="n">
        <v>15</v>
      </c>
      <c r="B19" s="12" t="n"/>
      <c r="C19" s="12" t="n"/>
      <c r="D19" s="12" t="n"/>
      <c r="E19" s="12" t="n"/>
      <c r="F19" s="22" t="n"/>
      <c r="G19" s="22" t="n"/>
      <c r="H19" s="23">
        <f>IF(OR(F19="",G19=""),"",F19*G19)</f>
        <v/>
      </c>
      <c r="I19" s="23">
        <f>IF(H19="","",IF(H19&lt;=4,"Низький",IF(H19&lt;=9,"Середній",IF(H19&lt;=16,"Високий","Критичний"))))</f>
        <v/>
      </c>
      <c r="J19" s="22" t="n"/>
      <c r="K19" s="12" t="n"/>
      <c r="L19" s="12" t="n"/>
      <c r="M19" s="23">
        <f>IF(L19="",0,IFERROR(IF(ISNUMBER(SEARCH(E19,INDEX('В08 Каталог'!$D$5:$D$19,MATCH(L19,'В08 Каталог'!$B$5:$B$19,0)))),INDEX('В08 Каталог'!$E$5:$E$19,MATCH(L19,'В08 Каталог'!$B$5:$B$19,0)),0),0))</f>
        <v/>
      </c>
      <c r="N19" s="23">
        <f>IF(L19="",0,IFERROR(IF(ISNUMBER(SEARCH(E19,INDEX('В08 Каталог'!$D$5:$D$19,MATCH(L19,'В08 Каталог'!$B$5:$B$19,0)))),INDEX('В08 Каталог'!$F$5:$F$19,MATCH(L19,'В08 Каталог'!$B$5:$B$19,0)),0),0))</f>
        <v/>
      </c>
      <c r="O19" s="23">
        <f>IF(F19="","",MAX(1,F19-M19))</f>
        <v/>
      </c>
      <c r="P19" s="23">
        <f>IF(G19="","",MAX(1,G19-N19))</f>
        <v/>
      </c>
      <c r="Q19" s="23">
        <f>IF(O19="","",O19*P19)</f>
        <v/>
      </c>
      <c r="R19" s="14">
        <f>IF(J19&lt;&gt;"Так","",IF(K19="","Оберіть стратегію",IF(AND(K19="Приймати",H19&gt;=17),"Критичний ризик не приймають",IF(AND(K19="Приймати",L19&lt;&gt;""),"Приймання: заходу не потрібно",IF(AND(K19&lt;&gt;"Приймати",L19=""),"Оберіть захід",IF(AND(K19="Передавати",L19&lt;&gt;"Страхування готівки та кіберризиків"),"Передача: оберіть страхування",IF(AND(K19="Уникати",L19&lt;&gt;"Призупинити сервіс чи функцію (уникнення, втрата бізнесу)"),"Уникнення: оберіть призупинення",IF(AND(L19&lt;&gt;"",M19+N19=0),"Захід не діє на цю категорію",IF(AND(L19&lt;&gt;"",INDEX('В08 Каталог'!$H$5:$H$19,MATCH(L19,'В08 Каталог'!$B$5:$B$19,0))="Ні"),"Захід недоступний","ОК")))))))))</f>
        <v/>
      </c>
      <c r="S19" s="12" t="n"/>
    </row>
    <row r="20">
      <c r="A20" s="14" t="n">
        <v>16</v>
      </c>
      <c r="B20" s="12" t="n"/>
      <c r="C20" s="12" t="n"/>
      <c r="D20" s="12" t="n"/>
      <c r="E20" s="12" t="n"/>
      <c r="F20" s="22" t="n"/>
      <c r="G20" s="22" t="n"/>
      <c r="H20" s="23">
        <f>IF(OR(F20="",G20=""),"",F20*G20)</f>
        <v/>
      </c>
      <c r="I20" s="23">
        <f>IF(H20="","",IF(H20&lt;=4,"Низький",IF(H20&lt;=9,"Середній",IF(H20&lt;=16,"Високий","Критичний"))))</f>
        <v/>
      </c>
      <c r="J20" s="22" t="n"/>
      <c r="K20" s="12" t="n"/>
      <c r="L20" s="12" t="n"/>
      <c r="M20" s="23">
        <f>IF(L20="",0,IFERROR(IF(ISNUMBER(SEARCH(E20,INDEX('В08 Каталог'!$D$5:$D$19,MATCH(L20,'В08 Каталог'!$B$5:$B$19,0)))),INDEX('В08 Каталог'!$E$5:$E$19,MATCH(L20,'В08 Каталог'!$B$5:$B$19,0)),0),0))</f>
        <v/>
      </c>
      <c r="N20" s="23">
        <f>IF(L20="",0,IFERROR(IF(ISNUMBER(SEARCH(E20,INDEX('В08 Каталог'!$D$5:$D$19,MATCH(L20,'В08 Каталог'!$B$5:$B$19,0)))),INDEX('В08 Каталог'!$F$5:$F$19,MATCH(L20,'В08 Каталог'!$B$5:$B$19,0)),0),0))</f>
        <v/>
      </c>
      <c r="O20" s="23">
        <f>IF(F20="","",MAX(1,F20-M20))</f>
        <v/>
      </c>
      <c r="P20" s="23">
        <f>IF(G20="","",MAX(1,G20-N20))</f>
        <v/>
      </c>
      <c r="Q20" s="23">
        <f>IF(O20="","",O20*P20)</f>
        <v/>
      </c>
      <c r="R20" s="14">
        <f>IF(J20&lt;&gt;"Так","",IF(K20="","Оберіть стратегію",IF(AND(K20="Приймати",H20&gt;=17),"Критичний ризик не приймають",IF(AND(K20="Приймати",L20&lt;&gt;""),"Приймання: заходу не потрібно",IF(AND(K20&lt;&gt;"Приймати",L20=""),"Оберіть захід",IF(AND(K20="Передавати",L20&lt;&gt;"Страхування готівки та кіберризиків"),"Передача: оберіть страхування",IF(AND(K20="Уникати",L20&lt;&gt;"Призупинити сервіс чи функцію (уникнення, втрата бізнесу)"),"Уникнення: оберіть призупинення",IF(AND(L20&lt;&gt;"",M20+N20=0),"Захід не діє на цю категорію",IF(AND(L20&lt;&gt;"",INDEX('В08 Каталог'!$H$5:$H$19,MATCH(L20,'В08 Каталог'!$B$5:$B$19,0))="Ні"),"Захід недоступний","ОК")))))))))</f>
        <v/>
      </c>
      <c r="S20" s="12" t="n"/>
    </row>
    <row r="21">
      <c r="A21" s="14" t="n">
        <v>17</v>
      </c>
      <c r="B21" s="12" t="n"/>
      <c r="C21" s="12" t="n"/>
      <c r="D21" s="12" t="n"/>
      <c r="E21" s="12" t="n"/>
      <c r="F21" s="22" t="n"/>
      <c r="G21" s="22" t="n"/>
      <c r="H21" s="23">
        <f>IF(OR(F21="",G21=""),"",F21*G21)</f>
        <v/>
      </c>
      <c r="I21" s="23">
        <f>IF(H21="","",IF(H21&lt;=4,"Низький",IF(H21&lt;=9,"Середній",IF(H21&lt;=16,"Високий","Критичний"))))</f>
        <v/>
      </c>
      <c r="J21" s="22" t="n"/>
      <c r="K21" s="12" t="n"/>
      <c r="L21" s="12" t="n"/>
      <c r="M21" s="23">
        <f>IF(L21="",0,IFERROR(IF(ISNUMBER(SEARCH(E21,INDEX('В08 Каталог'!$D$5:$D$19,MATCH(L21,'В08 Каталог'!$B$5:$B$19,0)))),INDEX('В08 Каталог'!$E$5:$E$19,MATCH(L21,'В08 Каталог'!$B$5:$B$19,0)),0),0))</f>
        <v/>
      </c>
      <c r="N21" s="23">
        <f>IF(L21="",0,IFERROR(IF(ISNUMBER(SEARCH(E21,INDEX('В08 Каталог'!$D$5:$D$19,MATCH(L21,'В08 Каталог'!$B$5:$B$19,0)))),INDEX('В08 Каталог'!$F$5:$F$19,MATCH(L21,'В08 Каталог'!$B$5:$B$19,0)),0),0))</f>
        <v/>
      </c>
      <c r="O21" s="23">
        <f>IF(F21="","",MAX(1,F21-M21))</f>
        <v/>
      </c>
      <c r="P21" s="23">
        <f>IF(G21="","",MAX(1,G21-N21))</f>
        <v/>
      </c>
      <c r="Q21" s="23">
        <f>IF(O21="","",O21*P21)</f>
        <v/>
      </c>
      <c r="R21" s="14">
        <f>IF(J21&lt;&gt;"Так","",IF(K21="","Оберіть стратегію",IF(AND(K21="Приймати",H21&gt;=17),"Критичний ризик не приймають",IF(AND(K21="Приймати",L21&lt;&gt;""),"Приймання: заходу не потрібно",IF(AND(K21&lt;&gt;"Приймати",L21=""),"Оберіть захід",IF(AND(K21="Передавати",L21&lt;&gt;"Страхування готівки та кіберризиків"),"Передача: оберіть страхування",IF(AND(K21="Уникати",L21&lt;&gt;"Призупинити сервіс чи функцію (уникнення, втрата бізнесу)"),"Уникнення: оберіть призупинення",IF(AND(L21&lt;&gt;"",M21+N21=0),"Захід не діє на цю категорію",IF(AND(L21&lt;&gt;"",INDEX('В08 Каталог'!$H$5:$H$19,MATCH(L21,'В08 Каталог'!$B$5:$B$19,0))="Ні"),"Захід недоступний","ОК")))))))))</f>
        <v/>
      </c>
      <c r="S21" s="12" t="n"/>
    </row>
    <row r="22">
      <c r="A22" s="14" t="n">
        <v>18</v>
      </c>
      <c r="B22" s="12" t="n"/>
      <c r="C22" s="12" t="n"/>
      <c r="D22" s="12" t="n"/>
      <c r="E22" s="12" t="n"/>
      <c r="F22" s="22" t="n"/>
      <c r="G22" s="22" t="n"/>
      <c r="H22" s="23">
        <f>IF(OR(F22="",G22=""),"",F22*G22)</f>
        <v/>
      </c>
      <c r="I22" s="23">
        <f>IF(H22="","",IF(H22&lt;=4,"Низький",IF(H22&lt;=9,"Середній",IF(H22&lt;=16,"Високий","Критичний"))))</f>
        <v/>
      </c>
      <c r="J22" s="22" t="n"/>
      <c r="K22" s="12" t="n"/>
      <c r="L22" s="12" t="n"/>
      <c r="M22" s="23">
        <f>IF(L22="",0,IFERROR(IF(ISNUMBER(SEARCH(E22,INDEX('В08 Каталог'!$D$5:$D$19,MATCH(L22,'В08 Каталог'!$B$5:$B$19,0)))),INDEX('В08 Каталог'!$E$5:$E$19,MATCH(L22,'В08 Каталог'!$B$5:$B$19,0)),0),0))</f>
        <v/>
      </c>
      <c r="N22" s="23">
        <f>IF(L22="",0,IFERROR(IF(ISNUMBER(SEARCH(E22,INDEX('В08 Каталог'!$D$5:$D$19,MATCH(L22,'В08 Каталог'!$B$5:$B$19,0)))),INDEX('В08 Каталог'!$F$5:$F$19,MATCH(L22,'В08 Каталог'!$B$5:$B$19,0)),0),0))</f>
        <v/>
      </c>
      <c r="O22" s="23">
        <f>IF(F22="","",MAX(1,F22-M22))</f>
        <v/>
      </c>
      <c r="P22" s="23">
        <f>IF(G22="","",MAX(1,G22-N22))</f>
        <v/>
      </c>
      <c r="Q22" s="23">
        <f>IF(O22="","",O22*P22)</f>
        <v/>
      </c>
      <c r="R22" s="14">
        <f>IF(J22&lt;&gt;"Так","",IF(K22="","Оберіть стратегію",IF(AND(K22="Приймати",H22&gt;=17),"Критичний ризик не приймають",IF(AND(K22="Приймати",L22&lt;&gt;""),"Приймання: заходу не потрібно",IF(AND(K22&lt;&gt;"Приймати",L22=""),"Оберіть захід",IF(AND(K22="Передавати",L22&lt;&gt;"Страхування готівки та кіберризиків"),"Передача: оберіть страхування",IF(AND(K22="Уникати",L22&lt;&gt;"Призупинити сервіс чи функцію (уникнення, втрата бізнесу)"),"Уникнення: оберіть призупинення",IF(AND(L22&lt;&gt;"",M22+N22=0),"Захід не діє на цю категорію",IF(AND(L22&lt;&gt;"",INDEX('В08 Каталог'!$H$5:$H$19,MATCH(L22,'В08 Каталог'!$B$5:$B$19,0))="Ні"),"Захід недоступний","ОК")))))))))</f>
        <v/>
      </c>
      <c r="S22" s="12" t="n"/>
    </row>
    <row r="23">
      <c r="A23" s="14" t="n">
        <v>19</v>
      </c>
      <c r="B23" s="12" t="n"/>
      <c r="C23" s="12" t="n"/>
      <c r="D23" s="12" t="n"/>
      <c r="E23" s="12" t="n"/>
      <c r="F23" s="22" t="n"/>
      <c r="G23" s="22" t="n"/>
      <c r="H23" s="23">
        <f>IF(OR(F23="",G23=""),"",F23*G23)</f>
        <v/>
      </c>
      <c r="I23" s="23">
        <f>IF(H23="","",IF(H23&lt;=4,"Низький",IF(H23&lt;=9,"Середній",IF(H23&lt;=16,"Високий","Критичний"))))</f>
        <v/>
      </c>
      <c r="J23" s="22" t="n"/>
      <c r="K23" s="12" t="n"/>
      <c r="L23" s="12" t="n"/>
      <c r="M23" s="23">
        <f>IF(L23="",0,IFERROR(IF(ISNUMBER(SEARCH(E23,INDEX('В08 Каталог'!$D$5:$D$19,MATCH(L23,'В08 Каталог'!$B$5:$B$19,0)))),INDEX('В08 Каталог'!$E$5:$E$19,MATCH(L23,'В08 Каталог'!$B$5:$B$19,0)),0),0))</f>
        <v/>
      </c>
      <c r="N23" s="23">
        <f>IF(L23="",0,IFERROR(IF(ISNUMBER(SEARCH(E23,INDEX('В08 Каталог'!$D$5:$D$19,MATCH(L23,'В08 Каталог'!$B$5:$B$19,0)))),INDEX('В08 Каталог'!$F$5:$F$19,MATCH(L23,'В08 Каталог'!$B$5:$B$19,0)),0),0))</f>
        <v/>
      </c>
      <c r="O23" s="23">
        <f>IF(F23="","",MAX(1,F23-M23))</f>
        <v/>
      </c>
      <c r="P23" s="23">
        <f>IF(G23="","",MAX(1,G23-N23))</f>
        <v/>
      </c>
      <c r="Q23" s="23">
        <f>IF(O23="","",O23*P23)</f>
        <v/>
      </c>
      <c r="R23" s="14">
        <f>IF(J23&lt;&gt;"Так","",IF(K23="","Оберіть стратегію",IF(AND(K23="Приймати",H23&gt;=17),"Критичний ризик не приймають",IF(AND(K23="Приймати",L23&lt;&gt;""),"Приймання: заходу не потрібно",IF(AND(K23&lt;&gt;"Приймати",L23=""),"Оберіть захід",IF(AND(K23="Передавати",L23&lt;&gt;"Страхування готівки та кіберризиків"),"Передача: оберіть страхування",IF(AND(K23="Уникати",L23&lt;&gt;"Призупинити сервіс чи функцію (уникнення, втрата бізнесу)"),"Уникнення: оберіть призупинення",IF(AND(L23&lt;&gt;"",M23+N23=0),"Захід не діє на цю категорію",IF(AND(L23&lt;&gt;"",INDEX('В08 Каталог'!$H$5:$H$19,MATCH(L23,'В08 Каталог'!$B$5:$B$19,0))="Ні"),"Захід недоступний","ОК")))))))))</f>
        <v/>
      </c>
      <c r="S23" s="12" t="n"/>
    </row>
    <row r="24">
      <c r="A24" s="14" t="n">
        <v>20</v>
      </c>
      <c r="B24" s="12" t="n"/>
      <c r="C24" s="12" t="n"/>
      <c r="D24" s="12" t="n"/>
      <c r="E24" s="12" t="n"/>
      <c r="F24" s="22" t="n"/>
      <c r="G24" s="22" t="n"/>
      <c r="H24" s="23">
        <f>IF(OR(F24="",G24=""),"",F24*G24)</f>
        <v/>
      </c>
      <c r="I24" s="23">
        <f>IF(H24="","",IF(H24&lt;=4,"Низький",IF(H24&lt;=9,"Середній",IF(H24&lt;=16,"Високий","Критичний"))))</f>
        <v/>
      </c>
      <c r="J24" s="22" t="n"/>
      <c r="K24" s="12" t="n"/>
      <c r="L24" s="12" t="n"/>
      <c r="M24" s="23">
        <f>IF(L24="",0,IFERROR(IF(ISNUMBER(SEARCH(E24,INDEX('В08 Каталог'!$D$5:$D$19,MATCH(L24,'В08 Каталог'!$B$5:$B$19,0)))),INDEX('В08 Каталог'!$E$5:$E$19,MATCH(L24,'В08 Каталог'!$B$5:$B$19,0)),0),0))</f>
        <v/>
      </c>
      <c r="N24" s="23">
        <f>IF(L24="",0,IFERROR(IF(ISNUMBER(SEARCH(E24,INDEX('В08 Каталог'!$D$5:$D$19,MATCH(L24,'В08 Каталог'!$B$5:$B$19,0)))),INDEX('В08 Каталог'!$F$5:$F$19,MATCH(L24,'В08 Каталог'!$B$5:$B$19,0)),0),0))</f>
        <v/>
      </c>
      <c r="O24" s="23">
        <f>IF(F24="","",MAX(1,F24-M24))</f>
        <v/>
      </c>
      <c r="P24" s="23">
        <f>IF(G24="","",MAX(1,G24-N24))</f>
        <v/>
      </c>
      <c r="Q24" s="23">
        <f>IF(O24="","",O24*P24)</f>
        <v/>
      </c>
      <c r="R24" s="14">
        <f>IF(J24&lt;&gt;"Так","",IF(K24="","Оберіть стратегію",IF(AND(K24="Приймати",H24&gt;=17),"Критичний ризик не приймають",IF(AND(K24="Приймати",L24&lt;&gt;""),"Приймання: заходу не потрібно",IF(AND(K24&lt;&gt;"Приймати",L24=""),"Оберіть захід",IF(AND(K24="Передавати",L24&lt;&gt;"Страхування готівки та кіберризиків"),"Передача: оберіть страхування",IF(AND(K24="Уникати",L24&lt;&gt;"Призупинити сервіс чи функцію (уникнення, втрата бізнесу)"),"Уникнення: оберіть призупинення",IF(AND(L24&lt;&gt;"",M24+N24=0),"Захід не діє на цю категорію",IF(AND(L24&lt;&gt;"",INDEX('В08 Каталог'!$H$5:$H$19,MATCH(L24,'В08 Каталог'!$B$5:$B$19,0))="Ні"),"Захід недоступний","ОК")))))))))</f>
        <v/>
      </c>
      <c r="S24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I5:I24">
    <cfRule type="cellIs" priority="1" operator="equal" dxfId="0">
      <formula>"Низький"</formula>
    </cfRule>
    <cfRule type="cellIs" priority="2" operator="equal" dxfId="1">
      <formula>"Середній"</formula>
    </cfRule>
    <cfRule type="cellIs" priority="3" operator="equal" dxfId="2">
      <formula>"Високий"</formula>
    </cfRule>
    <cfRule type="cellIs" priority="4" operator="equal" dxfId="3">
      <formula>"Критичний"</formula>
    </cfRule>
  </conditionalFormatting>
  <conditionalFormatting sqref="R5:R24">
    <cfRule type="expression" priority="5" dxfId="4">
      <formula>AND(R5&lt;&gt;"",R5&lt;&gt;"ОК")</formula>
    </cfRule>
  </conditionalFormatting>
  <dataValidations count="6">
    <dataValidation sqref="B5:B24" showDropDown="0" showInputMessage="0" showErrorMessage="0" allowBlank="1" type="list">
      <formula1>='В08 Активи'!$B$5:$B$24</formula1>
    </dataValidation>
    <dataValidation sqref="E5:E2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F5:G24" showDropDown="0" showInputMessage="0" showErrorMessage="0" allowBlank="1" type="whole" operator="between">
      <formula1>1</formula1>
      <formula2>5</formula2>
    </dataValidation>
    <dataValidation sqref="J5:J24" showDropDown="0" showInputMessage="0" showErrorMessage="0" allowBlank="1" type="list">
      <formula1>"Так"</formula1>
    </dataValidation>
    <dataValidation sqref="K5:K24" showDropDown="0" showInputMessage="0" showErrorMessage="0" allowBlank="1" type="list">
      <formula1>"Зменшувати,Передавати,Приймати,Уникати"</formula1>
    </dataValidation>
    <dataValidation sqref="L5:L24" showDropDown="0" showInputMessage="0" showErrorMessage="0" allowBlank="1" type="list">
      <formula1>='В08 Каталог'!$B$5:$B$19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A7D7B"/>
    <outlinePr summaryBelow="1" summaryRight="1"/>
    <pageSetUpPr/>
  </sheetPr>
  <dimension ref="A1:N14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Матриця «ймовірність × наслідки»</t>
        </is>
      </c>
    </row>
    <row r="2">
      <c r="A2" s="6" t="inlineStr">
        <is>
          <t>Числа в клітинках: скільки ризиків із вашого реєстру потрапило в цю клітинку. Ліворуч, до заходів; праворуч, після заходів.</t>
        </is>
      </c>
    </row>
    <row r="4">
      <c r="A4" s="17" t="inlineStr">
        <is>
          <t>До заходів</t>
        </is>
      </c>
      <c r="I4" s="17" t="inlineStr">
        <is>
          <t>Після заходів</t>
        </is>
      </c>
    </row>
    <row r="5">
      <c r="B5" s="24" t="inlineStr">
        <is>
          <t>Ймовірність P →</t>
        </is>
      </c>
      <c r="J5" s="24" t="inlineStr">
        <is>
          <t>Ймовірність P →</t>
        </is>
      </c>
    </row>
    <row r="6" ht="34" customHeight="1">
      <c r="A6" s="24" t="inlineStr">
        <is>
          <t>C = 5</t>
        </is>
      </c>
      <c r="B6" s="25">
        <f>COUNTIFS('В08 Ризики'!$F$5:$F$24,1,'В08 Ризики'!$G$5:$G$24,5)</f>
        <v/>
      </c>
      <c r="C6" s="26">
        <f>COUNTIFS('В08 Ризики'!$F$5:$F$24,2,'В08 Ризики'!$G$5:$G$24,5)</f>
        <v/>
      </c>
      <c r="D6" s="26">
        <f>COUNTIFS('В08 Ризики'!$F$5:$F$24,3,'В08 Ризики'!$G$5:$G$24,5)</f>
        <v/>
      </c>
      <c r="E6" s="27">
        <f>COUNTIFS('В08 Ризики'!$F$5:$F$24,4,'В08 Ризики'!$G$5:$G$24,5)</f>
        <v/>
      </c>
      <c r="F6" s="27">
        <f>COUNTIFS('В08 Ризики'!$F$5:$F$24,5,'В08 Ризики'!$G$5:$G$24,5)</f>
        <v/>
      </c>
      <c r="I6" s="24" t="inlineStr">
        <is>
          <t>C = 5</t>
        </is>
      </c>
      <c r="J6" s="25">
        <f>COUNTIFS('В08 Ризики'!$O$5:$O$24,1,'В08 Ризики'!$P$5:$P$24,5)</f>
        <v/>
      </c>
      <c r="K6" s="26">
        <f>COUNTIFS('В08 Ризики'!$O$5:$O$24,2,'В08 Ризики'!$P$5:$P$24,5)</f>
        <v/>
      </c>
      <c r="L6" s="26">
        <f>COUNTIFS('В08 Ризики'!$O$5:$O$24,3,'В08 Ризики'!$P$5:$P$24,5)</f>
        <v/>
      </c>
      <c r="M6" s="27">
        <f>COUNTIFS('В08 Ризики'!$O$5:$O$24,4,'В08 Ризики'!$P$5:$P$24,5)</f>
        <v/>
      </c>
      <c r="N6" s="27">
        <f>COUNTIFS('В08 Ризики'!$O$5:$O$24,5,'В08 Ризики'!$P$5:$P$24,5)</f>
        <v/>
      </c>
    </row>
    <row r="7" ht="34" customHeight="1">
      <c r="A7" s="24" t="inlineStr">
        <is>
          <t>C = 4</t>
        </is>
      </c>
      <c r="B7" s="28">
        <f>COUNTIFS('В08 Ризики'!$F$5:$F$24,1,'В08 Ризики'!$G$5:$G$24,4)</f>
        <v/>
      </c>
      <c r="C7" s="25">
        <f>COUNTIFS('В08 Ризики'!$F$5:$F$24,2,'В08 Ризики'!$G$5:$G$24,4)</f>
        <v/>
      </c>
      <c r="D7" s="26">
        <f>COUNTIFS('В08 Ризики'!$F$5:$F$24,3,'В08 Ризики'!$G$5:$G$24,4)</f>
        <v/>
      </c>
      <c r="E7" s="26">
        <f>COUNTIFS('В08 Ризики'!$F$5:$F$24,4,'В08 Ризики'!$G$5:$G$24,4)</f>
        <v/>
      </c>
      <c r="F7" s="27">
        <f>COUNTIFS('В08 Ризики'!$F$5:$F$24,5,'В08 Ризики'!$G$5:$G$24,4)</f>
        <v/>
      </c>
      <c r="I7" s="24" t="inlineStr">
        <is>
          <t>C = 4</t>
        </is>
      </c>
      <c r="J7" s="28">
        <f>COUNTIFS('В08 Ризики'!$O$5:$O$24,1,'В08 Ризики'!$P$5:$P$24,4)</f>
        <v/>
      </c>
      <c r="K7" s="25">
        <f>COUNTIFS('В08 Ризики'!$O$5:$O$24,2,'В08 Ризики'!$P$5:$P$24,4)</f>
        <v/>
      </c>
      <c r="L7" s="26">
        <f>COUNTIFS('В08 Ризики'!$O$5:$O$24,3,'В08 Ризики'!$P$5:$P$24,4)</f>
        <v/>
      </c>
      <c r="M7" s="26">
        <f>COUNTIFS('В08 Ризики'!$O$5:$O$24,4,'В08 Ризики'!$P$5:$P$24,4)</f>
        <v/>
      </c>
      <c r="N7" s="27">
        <f>COUNTIFS('В08 Ризики'!$O$5:$O$24,5,'В08 Ризики'!$P$5:$P$24,4)</f>
        <v/>
      </c>
    </row>
    <row r="8" ht="34" customHeight="1">
      <c r="A8" s="24" t="inlineStr">
        <is>
          <t>C = 3</t>
        </is>
      </c>
      <c r="B8" s="28">
        <f>COUNTIFS('В08 Ризики'!$F$5:$F$24,1,'В08 Ризики'!$G$5:$G$24,3)</f>
        <v/>
      </c>
      <c r="C8" s="25">
        <f>COUNTIFS('В08 Ризики'!$F$5:$F$24,2,'В08 Ризики'!$G$5:$G$24,3)</f>
        <v/>
      </c>
      <c r="D8" s="25">
        <f>COUNTIFS('В08 Ризики'!$F$5:$F$24,3,'В08 Ризики'!$G$5:$G$24,3)</f>
        <v/>
      </c>
      <c r="E8" s="26">
        <f>COUNTIFS('В08 Ризики'!$F$5:$F$24,4,'В08 Ризики'!$G$5:$G$24,3)</f>
        <v/>
      </c>
      <c r="F8" s="26">
        <f>COUNTIFS('В08 Ризики'!$F$5:$F$24,5,'В08 Ризики'!$G$5:$G$24,3)</f>
        <v/>
      </c>
      <c r="I8" s="24" t="inlineStr">
        <is>
          <t>C = 3</t>
        </is>
      </c>
      <c r="J8" s="28">
        <f>COUNTIFS('В08 Ризики'!$O$5:$O$24,1,'В08 Ризики'!$P$5:$P$24,3)</f>
        <v/>
      </c>
      <c r="K8" s="25">
        <f>COUNTIFS('В08 Ризики'!$O$5:$O$24,2,'В08 Ризики'!$P$5:$P$24,3)</f>
        <v/>
      </c>
      <c r="L8" s="25">
        <f>COUNTIFS('В08 Ризики'!$O$5:$O$24,3,'В08 Ризики'!$P$5:$P$24,3)</f>
        <v/>
      </c>
      <c r="M8" s="26">
        <f>COUNTIFS('В08 Ризики'!$O$5:$O$24,4,'В08 Ризики'!$P$5:$P$24,3)</f>
        <v/>
      </c>
      <c r="N8" s="26">
        <f>COUNTIFS('В08 Ризики'!$O$5:$O$24,5,'В08 Ризики'!$P$5:$P$24,3)</f>
        <v/>
      </c>
    </row>
    <row r="9" ht="34" customHeight="1">
      <c r="A9" s="24" t="inlineStr">
        <is>
          <t>C = 2</t>
        </is>
      </c>
      <c r="B9" s="28">
        <f>COUNTIFS('В08 Ризики'!$F$5:$F$24,1,'В08 Ризики'!$G$5:$G$24,2)</f>
        <v/>
      </c>
      <c r="C9" s="28">
        <f>COUNTIFS('В08 Ризики'!$F$5:$F$24,2,'В08 Ризики'!$G$5:$G$24,2)</f>
        <v/>
      </c>
      <c r="D9" s="25">
        <f>COUNTIFS('В08 Ризики'!$F$5:$F$24,3,'В08 Ризики'!$G$5:$G$24,2)</f>
        <v/>
      </c>
      <c r="E9" s="25">
        <f>COUNTIFS('В08 Ризики'!$F$5:$F$24,4,'В08 Ризики'!$G$5:$G$24,2)</f>
        <v/>
      </c>
      <c r="F9" s="26">
        <f>COUNTIFS('В08 Ризики'!$F$5:$F$24,5,'В08 Ризики'!$G$5:$G$24,2)</f>
        <v/>
      </c>
      <c r="I9" s="24" t="inlineStr">
        <is>
          <t>C = 2</t>
        </is>
      </c>
      <c r="J9" s="28">
        <f>COUNTIFS('В08 Ризики'!$O$5:$O$24,1,'В08 Ризики'!$P$5:$P$24,2)</f>
        <v/>
      </c>
      <c r="K9" s="28">
        <f>COUNTIFS('В08 Ризики'!$O$5:$O$24,2,'В08 Ризики'!$P$5:$P$24,2)</f>
        <v/>
      </c>
      <c r="L9" s="25">
        <f>COUNTIFS('В08 Ризики'!$O$5:$O$24,3,'В08 Ризики'!$P$5:$P$24,2)</f>
        <v/>
      </c>
      <c r="M9" s="25">
        <f>COUNTIFS('В08 Ризики'!$O$5:$O$24,4,'В08 Ризики'!$P$5:$P$24,2)</f>
        <v/>
      </c>
      <c r="N9" s="26">
        <f>COUNTIFS('В08 Ризики'!$O$5:$O$24,5,'В08 Ризики'!$P$5:$P$24,2)</f>
        <v/>
      </c>
    </row>
    <row r="10" ht="34" customHeight="1">
      <c r="A10" s="24" t="inlineStr">
        <is>
          <t>C = 1</t>
        </is>
      </c>
      <c r="B10" s="28">
        <f>COUNTIFS('В08 Ризики'!$F$5:$F$24,1,'В08 Ризики'!$G$5:$G$24,1)</f>
        <v/>
      </c>
      <c r="C10" s="28">
        <f>COUNTIFS('В08 Ризики'!$F$5:$F$24,2,'В08 Ризики'!$G$5:$G$24,1)</f>
        <v/>
      </c>
      <c r="D10" s="28">
        <f>COUNTIFS('В08 Ризики'!$F$5:$F$24,3,'В08 Ризики'!$G$5:$G$24,1)</f>
        <v/>
      </c>
      <c r="E10" s="28">
        <f>COUNTIFS('В08 Ризики'!$F$5:$F$24,4,'В08 Ризики'!$G$5:$G$24,1)</f>
        <v/>
      </c>
      <c r="F10" s="25">
        <f>COUNTIFS('В08 Ризики'!$F$5:$F$24,5,'В08 Ризики'!$G$5:$G$24,1)</f>
        <v/>
      </c>
      <c r="I10" s="24" t="inlineStr">
        <is>
          <t>C = 1</t>
        </is>
      </c>
      <c r="J10" s="28">
        <f>COUNTIFS('В08 Ризики'!$O$5:$O$24,1,'В08 Ризики'!$P$5:$P$24,1)</f>
        <v/>
      </c>
      <c r="K10" s="28">
        <f>COUNTIFS('В08 Ризики'!$O$5:$O$24,2,'В08 Ризики'!$P$5:$P$24,1)</f>
        <v/>
      </c>
      <c r="L10" s="28">
        <f>COUNTIFS('В08 Ризики'!$O$5:$O$24,3,'В08 Ризики'!$P$5:$P$24,1)</f>
        <v/>
      </c>
      <c r="M10" s="28">
        <f>COUNTIFS('В08 Ризики'!$O$5:$O$24,4,'В08 Ризики'!$P$5:$P$24,1)</f>
        <v/>
      </c>
      <c r="N10" s="25">
        <f>COUNTIFS('В08 Ризики'!$O$5:$O$24,5,'В08 Ризики'!$P$5:$P$24,1)</f>
        <v/>
      </c>
    </row>
    <row r="11">
      <c r="B11" s="29" t="inlineStr">
        <is>
          <t>P = 1</t>
        </is>
      </c>
      <c r="C11" s="29" t="inlineStr">
        <is>
          <t>P = 2</t>
        </is>
      </c>
      <c r="D11" s="29" t="inlineStr">
        <is>
          <t>P = 3</t>
        </is>
      </c>
      <c r="E11" s="29" t="inlineStr">
        <is>
          <t>P = 4</t>
        </is>
      </c>
      <c r="F11" s="29" t="inlineStr">
        <is>
          <t>P = 5</t>
        </is>
      </c>
      <c r="J11" s="29" t="inlineStr">
        <is>
          <t>P = 1</t>
        </is>
      </c>
      <c r="K11" s="29" t="inlineStr">
        <is>
          <t>P = 2</t>
        </is>
      </c>
      <c r="L11" s="29" t="inlineStr">
        <is>
          <t>P = 3</t>
        </is>
      </c>
      <c r="M11" s="29" t="inlineStr">
        <is>
          <t>P = 4</t>
        </is>
      </c>
      <c r="N11" s="29" t="inlineStr">
        <is>
          <t>P = 5</t>
        </is>
      </c>
    </row>
    <row r="14">
      <c r="A14" s="30" t="inlineStr">
        <is>
          <t>Зелений: низький (1–4). Жовтий: середній (5–9). Помаранчевий: високий (10–16). Червоний: критичний (17–25).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A7D7B"/>
    <outlinePr summaryBelow="1" summaryRight="1"/>
    <pageSetUpPr/>
  </sheetPr>
  <dimension ref="A1:B16"/>
  <sheetViews>
    <sheetView tabSelected="0"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5" t="inlineStr">
        <is>
          <t>Бюджет і ефект заходів</t>
        </is>
      </c>
    </row>
    <row r="4">
      <c r="A4" s="31" t="inlineStr">
        <is>
          <t>Бюджет відділення</t>
        </is>
      </c>
      <c r="B4" s="32" t="n">
        <v>100</v>
      </c>
    </row>
    <row r="5">
      <c r="A5" s="31" t="inlineStr">
        <is>
          <t>Витрачено на заходи</t>
        </is>
      </c>
      <c r="B5" s="33">
        <f>SUM('В08 Каталог'!G5:G19)</f>
        <v/>
      </c>
    </row>
    <row r="6">
      <c r="A6" s="31" t="inlineStr">
        <is>
          <t>Залишок</t>
        </is>
      </c>
      <c r="B6" s="33">
        <f>B4-B5</f>
        <v/>
      </c>
    </row>
    <row r="7">
      <c r="A7" s="31" t="inlineStr">
        <is>
          <t>Перевірка бюджету</t>
        </is>
      </c>
      <c r="B7" s="33">
        <f>IF(B6&gt;=0,"У межах бюджету","Перевищено на "&amp;(-B6))</f>
        <v/>
      </c>
    </row>
    <row r="8">
      <c r="A8" s="31" t="inlineStr">
        <is>
          <t>Сума рівнів усіх ризиків до заходів</t>
        </is>
      </c>
      <c r="B8" s="33">
        <f>SUM('В08 Ризики'!H5:H24)</f>
        <v/>
      </c>
    </row>
    <row r="9">
      <c r="A9" s="31" t="inlineStr">
        <is>
          <t>Сума залишкових рівнів після заходів</t>
        </is>
      </c>
      <c r="B9" s="33">
        <f>SUM('В08 Ризики'!Q5:Q24)</f>
        <v/>
      </c>
    </row>
    <row r="10">
      <c r="A10" s="31" t="inlineStr">
        <is>
          <t>Зниження сукупного ризику</t>
        </is>
      </c>
      <c r="B10" s="34">
        <f>IF(B8=0,"",1-B9/B8)</f>
        <v/>
      </c>
    </row>
    <row r="11">
      <c r="A11" s="31" t="inlineStr">
        <is>
          <t>Ризики з позначкою «Топ-5»</t>
        </is>
      </c>
      <c r="B11" s="33">
        <f>COUNTIF('В08 Ризики'!J5:J24,"Так")</f>
        <v/>
      </c>
    </row>
    <row r="12">
      <c r="A12" s="31" t="inlineStr">
        <is>
          <t>Топ-5: що не так у перевірці</t>
        </is>
      </c>
      <c r="B12" s="33">
        <f>SUMPRODUCT(('В08 Ризики'!J5:J24="Так")*('В08 Ризики'!R5:R24&lt;&gt;"ОК"))</f>
        <v/>
      </c>
    </row>
    <row r="13">
      <c r="A13" s="31" t="inlineStr">
        <is>
          <t>Ризики у реєстрі</t>
        </is>
      </c>
      <c r="B13" s="33">
        <f>COUNTA('В08 Ризики'!B5:B24)</f>
        <v/>
      </c>
    </row>
    <row r="15">
      <c r="A15" s="35" t="inlineStr">
        <is>
          <t>Топ-5 має містити рівно 5 ризиків, у кожного з яких стратегія й захід узгоджені (колонка «Перевірка» = ОК); «Топ-5: що не так у перевірці» має дорівнювати 0.</t>
        </is>
      </c>
    </row>
    <row r="1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5:B16"/>
  </mergeCells>
  <conditionalFormatting sqref="B7">
    <cfRule type="expression" priority="1" dxfId="4">
      <formula>LEFT(B7,10)="Перевищено"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A7D7B"/>
    <outlinePr summaryBelow="1" summaryRight="1"/>
    <pageSetUpPr/>
  </sheetPr>
  <dimension ref="A1:D13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ризиків із топ-5 своїми словами (2–3 речення). Викладач може попросити пояснити їх усно.</t>
        </is>
      </c>
    </row>
    <row r="4" ht="44" customHeight="1">
      <c r="A4" s="13" t="inlineStr">
        <is>
          <t>Ризик № (з реєстру)</t>
        </is>
      </c>
      <c r="B4" s="13" t="inlineStr">
        <is>
          <t>Нотатка</t>
        </is>
      </c>
      <c r="C4" s="13" t="inlineStr">
        <is>
          <t>Чому така стратегія і такий захід? Чому не інший?</t>
        </is>
      </c>
      <c r="D4" s="13" t="inlineStr">
        <is>
          <t>Що лишається після заходу й чому це прийнятно?</t>
        </is>
      </c>
    </row>
    <row r="5">
      <c r="A5" s="12" t="n">
        <v>1</v>
      </c>
      <c r="B5" s="12" t="inlineStr">
        <is>
          <t>Критичний (20), приймати не можна</t>
        </is>
      </c>
      <c r="C5" s="12" t="inlineStr">
        <is>
          <t>Відключення щодня по 6 год, резерву немає — тому P = 5. Обрав «Генератор і ДБЖ», бо LTE-канал (M5) не допоможе: без світла не працює саме обладнання. Захід заодно закриває ризик №8 (ПК без ДБЖ).</t>
        </is>
      </c>
      <c r="D5" s="12" t="inlineStr">
        <is>
          <t>P 5 → 3, C 4 → 3, залишковий рівень 9 (середній). Генератор не миттєвий і потребує пального — це прийнятно, бо ДБЖ тримає каси до запуску генератора.</t>
        </is>
      </c>
    </row>
    <row r="6">
      <c r="A6" s="12" t="n">
        <v>3</v>
      </c>
      <c r="B6" s="12" t="inlineStr">
        <is>
          <t>Критичний (20), витік даних клієнтів</t>
        </is>
      </c>
      <c r="C6" s="12" t="inlineStr">
        <is>
          <t>Вішинг уже трапляється (3 спроби за рік), а вхід в АБС лише за паролем. MFA знижує P на 2: навіть виманений пароль без другого фактора не дає входу. Навчання (M1) дешевше, але знижує P лише на 1, тому його я поставив на ризик №14.</t>
        </is>
      </c>
      <c r="D6" s="12" t="inlineStr">
        <is>
          <t>Залишок 2 × 5 = 10: наслідки витоку не зменшуються, тому ризик лишається у фокусі; прийнятно, бо ймовірність тепер «раз на 2–5 років».</t>
        </is>
      </c>
    </row>
    <row r="7">
      <c r="A7" s="12" t="n">
        <v>2</v>
      </c>
      <c r="B7" s="12" t="inlineStr">
        <is>
          <t>Особливий актив В08</t>
        </is>
      </c>
      <c r="C7" s="12" t="inlineStr">
        <is>
          <t>ОС застаріла, оновлення (M9) для неї вже не виходять, тож оновлення не спрацює. Сегментація (M7) виносить ПК СКД в окремий VLAN зі списком доступу: навіть заражений ПК не дістанеться кас і АБС.</t>
        </is>
      </c>
      <c r="D7" s="12" t="inlineStr">
        <is>
          <t>Залишок 3 × 2 = 6. Сам ПК лишається вразливим, але шкода обмежена його VLAN; у наступному бюджеті — заміна ПК.</t>
        </is>
      </c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1">
      <c r="A11" s="17" t="inlineStr">
        <is>
          <t>Нова обставина</t>
        </is>
      </c>
    </row>
    <row r="12">
      <c r="A12" s="30" t="inlineStr">
        <is>
          <t>Що сказано у файлі «Нова обставина» і які саме рядки таблиці ви змінили (ризик №, було → стало):</t>
        </is>
      </c>
    </row>
    <row r="13" ht="70" customHeight="1">
      <c r="A13" s="12" t="inlineStr">
        <is>
          <t>КРОК 4 НЕ ВИКОНАНО: файл «Нова обставина» для варіанта 08 видає викладач у Teams після кроків 1–3; його ще немає. Резерв бюджету 11 у. о. навмисно залишено під цю обставину.</t>
        </is>
      </c>
      <c r="B13" s="20" t="n"/>
      <c r="C13" s="20" t="n"/>
      <c r="D13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2:D1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2026-10-20T08:50:24Z</dcterms:created>
  <dcterms:modified xmlns:dcterms="http://purl.org/dc/terms/" xmlns:xsi="http://www.w3.org/2001/XMLSchema-instance" xsi:type="dcterms:W3CDTF">2026-10-24T10:33:58Z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0x010100515EA09E6D44F04384841D5FBD71E5CF</vt:lpwstr>
  </property>
</Properties>
</file>