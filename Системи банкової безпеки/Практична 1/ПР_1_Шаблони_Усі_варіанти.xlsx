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міст" sheetId="1" state="visible" r:id="rId1"/>
    <sheet xmlns:r="http://schemas.openxmlformats.org/officeDocument/2006/relationships" name="В01 Інструкція" sheetId="2" state="visible" r:id="rId2"/>
    <sheet xmlns:r="http://schemas.openxmlformats.org/officeDocument/2006/relationships" name="В01 Профіль" sheetId="3" state="visible" r:id="rId3"/>
    <sheet xmlns:r="http://schemas.openxmlformats.org/officeDocument/2006/relationships" name="В01 Каталог" sheetId="4" state="visible" r:id="rId4"/>
    <sheet xmlns:r="http://schemas.openxmlformats.org/officeDocument/2006/relationships" name="В01 Активи" sheetId="5" state="visible" r:id="rId5"/>
    <sheet xmlns:r="http://schemas.openxmlformats.org/officeDocument/2006/relationships" name="В01 Чернетка" sheetId="6" state="visible" r:id="rId6"/>
    <sheet xmlns:r="http://schemas.openxmlformats.org/officeDocument/2006/relationships" name="В01 Ризики" sheetId="7" state="visible" r:id="rId7"/>
    <sheet xmlns:r="http://schemas.openxmlformats.org/officeDocument/2006/relationships" name="В01 Матриця" sheetId="8" state="visible" r:id="rId8"/>
    <sheet xmlns:r="http://schemas.openxmlformats.org/officeDocument/2006/relationships" name="В01 Бюджет" sheetId="9" state="visible" r:id="rId9"/>
    <sheet xmlns:r="http://schemas.openxmlformats.org/officeDocument/2006/relationships" name="В01 Обґрунтування" sheetId="10" state="visible" r:id="rId10"/>
    <sheet xmlns:r="http://schemas.openxmlformats.org/officeDocument/2006/relationships" name="В02 Інструкція" sheetId="11" state="visible" r:id="rId11"/>
    <sheet xmlns:r="http://schemas.openxmlformats.org/officeDocument/2006/relationships" name="В02 Профіль" sheetId="12" state="visible" r:id="rId12"/>
    <sheet xmlns:r="http://schemas.openxmlformats.org/officeDocument/2006/relationships" name="В02 Каталог" sheetId="13" state="visible" r:id="rId13"/>
    <sheet xmlns:r="http://schemas.openxmlformats.org/officeDocument/2006/relationships" name="В02 Активи" sheetId="14" state="visible" r:id="rId14"/>
    <sheet xmlns:r="http://schemas.openxmlformats.org/officeDocument/2006/relationships" name="В02 Чернетка" sheetId="15" state="visible" r:id="rId15"/>
    <sheet xmlns:r="http://schemas.openxmlformats.org/officeDocument/2006/relationships" name="В02 Ризики" sheetId="16" state="visible" r:id="rId16"/>
    <sheet xmlns:r="http://schemas.openxmlformats.org/officeDocument/2006/relationships" name="В02 Матриця" sheetId="17" state="visible" r:id="rId17"/>
    <sheet xmlns:r="http://schemas.openxmlformats.org/officeDocument/2006/relationships" name="В02 Бюджет" sheetId="18" state="visible" r:id="rId18"/>
    <sheet xmlns:r="http://schemas.openxmlformats.org/officeDocument/2006/relationships" name="В02 Обґрунтування" sheetId="19" state="visible" r:id="rId19"/>
    <sheet xmlns:r="http://schemas.openxmlformats.org/officeDocument/2006/relationships" name="В03 Інструкція" sheetId="20" state="visible" r:id="rId20"/>
    <sheet xmlns:r="http://schemas.openxmlformats.org/officeDocument/2006/relationships" name="В03 Профіль" sheetId="21" state="visible" r:id="rId21"/>
    <sheet xmlns:r="http://schemas.openxmlformats.org/officeDocument/2006/relationships" name="В03 Каталог" sheetId="22" state="visible" r:id="rId22"/>
    <sheet xmlns:r="http://schemas.openxmlformats.org/officeDocument/2006/relationships" name="В03 Активи" sheetId="23" state="visible" r:id="rId23"/>
    <sheet xmlns:r="http://schemas.openxmlformats.org/officeDocument/2006/relationships" name="В03 Чернетка" sheetId="24" state="visible" r:id="rId24"/>
    <sheet xmlns:r="http://schemas.openxmlformats.org/officeDocument/2006/relationships" name="В03 Ризики" sheetId="25" state="visible" r:id="rId25"/>
    <sheet xmlns:r="http://schemas.openxmlformats.org/officeDocument/2006/relationships" name="В03 Матриця" sheetId="26" state="visible" r:id="rId26"/>
    <sheet xmlns:r="http://schemas.openxmlformats.org/officeDocument/2006/relationships" name="В03 Бюджет" sheetId="27" state="visible" r:id="rId27"/>
    <sheet xmlns:r="http://schemas.openxmlformats.org/officeDocument/2006/relationships" name="В03 Обґрунтування" sheetId="28" state="visible" r:id="rId28"/>
    <sheet xmlns:r="http://schemas.openxmlformats.org/officeDocument/2006/relationships" name="В04 Інструкція" sheetId="29" state="visible" r:id="rId29"/>
    <sheet xmlns:r="http://schemas.openxmlformats.org/officeDocument/2006/relationships" name="В04 Профіль" sheetId="30" state="visible" r:id="rId30"/>
    <sheet xmlns:r="http://schemas.openxmlformats.org/officeDocument/2006/relationships" name="В04 Каталог" sheetId="31" state="visible" r:id="rId31"/>
    <sheet xmlns:r="http://schemas.openxmlformats.org/officeDocument/2006/relationships" name="В04 Активи" sheetId="32" state="visible" r:id="rId32"/>
    <sheet xmlns:r="http://schemas.openxmlformats.org/officeDocument/2006/relationships" name="В04 Чернетка" sheetId="33" state="visible" r:id="rId33"/>
    <sheet xmlns:r="http://schemas.openxmlformats.org/officeDocument/2006/relationships" name="В04 Ризики" sheetId="34" state="visible" r:id="rId34"/>
    <sheet xmlns:r="http://schemas.openxmlformats.org/officeDocument/2006/relationships" name="В04 Матриця" sheetId="35" state="visible" r:id="rId35"/>
    <sheet xmlns:r="http://schemas.openxmlformats.org/officeDocument/2006/relationships" name="В04 Бюджет" sheetId="36" state="visible" r:id="rId36"/>
    <sheet xmlns:r="http://schemas.openxmlformats.org/officeDocument/2006/relationships" name="В04 Обґрунтування" sheetId="37" state="visible" r:id="rId37"/>
    <sheet xmlns:r="http://schemas.openxmlformats.org/officeDocument/2006/relationships" name="В05 Інструкція" sheetId="38" state="visible" r:id="rId38"/>
    <sheet xmlns:r="http://schemas.openxmlformats.org/officeDocument/2006/relationships" name="В05 Профіль" sheetId="39" state="visible" r:id="rId39"/>
    <sheet xmlns:r="http://schemas.openxmlformats.org/officeDocument/2006/relationships" name="В05 Каталог" sheetId="40" state="visible" r:id="rId40"/>
    <sheet xmlns:r="http://schemas.openxmlformats.org/officeDocument/2006/relationships" name="В05 Активи" sheetId="41" state="visible" r:id="rId41"/>
    <sheet xmlns:r="http://schemas.openxmlformats.org/officeDocument/2006/relationships" name="В05 Чернетка" sheetId="42" state="visible" r:id="rId42"/>
    <sheet xmlns:r="http://schemas.openxmlformats.org/officeDocument/2006/relationships" name="В05 Ризики" sheetId="43" state="visible" r:id="rId43"/>
    <sheet xmlns:r="http://schemas.openxmlformats.org/officeDocument/2006/relationships" name="В05 Матриця" sheetId="44" state="visible" r:id="rId44"/>
    <sheet xmlns:r="http://schemas.openxmlformats.org/officeDocument/2006/relationships" name="В05 Бюджет" sheetId="45" state="visible" r:id="rId45"/>
    <sheet xmlns:r="http://schemas.openxmlformats.org/officeDocument/2006/relationships" name="В05 Обґрунтування" sheetId="46" state="visible" r:id="rId46"/>
    <sheet xmlns:r="http://schemas.openxmlformats.org/officeDocument/2006/relationships" name="В06 Інструкція" sheetId="47" state="visible" r:id="rId47"/>
    <sheet xmlns:r="http://schemas.openxmlformats.org/officeDocument/2006/relationships" name="В06 Профіль" sheetId="48" state="visible" r:id="rId48"/>
    <sheet xmlns:r="http://schemas.openxmlformats.org/officeDocument/2006/relationships" name="В06 Каталог" sheetId="49" state="visible" r:id="rId49"/>
    <sheet xmlns:r="http://schemas.openxmlformats.org/officeDocument/2006/relationships" name="В06 Активи" sheetId="50" state="visible" r:id="rId50"/>
    <sheet xmlns:r="http://schemas.openxmlformats.org/officeDocument/2006/relationships" name="В06 Чернетка" sheetId="51" state="visible" r:id="rId51"/>
    <sheet xmlns:r="http://schemas.openxmlformats.org/officeDocument/2006/relationships" name="В06 Ризики" sheetId="52" state="visible" r:id="rId52"/>
    <sheet xmlns:r="http://schemas.openxmlformats.org/officeDocument/2006/relationships" name="В06 Матриця" sheetId="53" state="visible" r:id="rId53"/>
    <sheet xmlns:r="http://schemas.openxmlformats.org/officeDocument/2006/relationships" name="В06 Бюджет" sheetId="54" state="visible" r:id="rId54"/>
    <sheet xmlns:r="http://schemas.openxmlformats.org/officeDocument/2006/relationships" name="В06 Обґрунтування" sheetId="55" state="visible" r:id="rId55"/>
    <sheet xmlns:r="http://schemas.openxmlformats.org/officeDocument/2006/relationships" name="В07 Інструкція" sheetId="56" state="visible" r:id="rId56"/>
    <sheet xmlns:r="http://schemas.openxmlformats.org/officeDocument/2006/relationships" name="В07 Профіль" sheetId="57" state="visible" r:id="rId57"/>
    <sheet xmlns:r="http://schemas.openxmlformats.org/officeDocument/2006/relationships" name="В07 Каталог" sheetId="58" state="visible" r:id="rId58"/>
    <sheet xmlns:r="http://schemas.openxmlformats.org/officeDocument/2006/relationships" name="В07 Активи" sheetId="59" state="visible" r:id="rId59"/>
    <sheet xmlns:r="http://schemas.openxmlformats.org/officeDocument/2006/relationships" name="В07 Чернетка" sheetId="60" state="visible" r:id="rId60"/>
    <sheet xmlns:r="http://schemas.openxmlformats.org/officeDocument/2006/relationships" name="В07 Ризики" sheetId="61" state="visible" r:id="rId61"/>
    <sheet xmlns:r="http://schemas.openxmlformats.org/officeDocument/2006/relationships" name="В07 Матриця" sheetId="62" state="visible" r:id="rId62"/>
    <sheet xmlns:r="http://schemas.openxmlformats.org/officeDocument/2006/relationships" name="В07 Бюджет" sheetId="63" state="visible" r:id="rId63"/>
    <sheet xmlns:r="http://schemas.openxmlformats.org/officeDocument/2006/relationships" name="В07 Обґрунтування" sheetId="64" state="visible" r:id="rId64"/>
    <sheet xmlns:r="http://schemas.openxmlformats.org/officeDocument/2006/relationships" name="В08 Інструкція" sheetId="65" state="visible" r:id="rId65"/>
    <sheet xmlns:r="http://schemas.openxmlformats.org/officeDocument/2006/relationships" name="В08 Профіль" sheetId="66" state="visible" r:id="rId66"/>
    <sheet xmlns:r="http://schemas.openxmlformats.org/officeDocument/2006/relationships" name="В08 Каталог" sheetId="67" state="visible" r:id="rId67"/>
    <sheet xmlns:r="http://schemas.openxmlformats.org/officeDocument/2006/relationships" name="В08 Активи" sheetId="68" state="visible" r:id="rId68"/>
    <sheet xmlns:r="http://schemas.openxmlformats.org/officeDocument/2006/relationships" name="В08 Чернетка" sheetId="69" state="visible" r:id="rId69"/>
    <sheet xmlns:r="http://schemas.openxmlformats.org/officeDocument/2006/relationships" name="В08 Ризики" sheetId="70" state="visible" r:id="rId70"/>
    <sheet xmlns:r="http://schemas.openxmlformats.org/officeDocument/2006/relationships" name="В08 Матриця" sheetId="71" state="visible" r:id="rId71"/>
    <sheet xmlns:r="http://schemas.openxmlformats.org/officeDocument/2006/relationships" name="В08 Бюджет" sheetId="72" state="visible" r:id="rId72"/>
    <sheet xmlns:r="http://schemas.openxmlformats.org/officeDocument/2006/relationships" name="В08 Обґрунтування" sheetId="73" state="visible" r:id="rId73"/>
    <sheet xmlns:r="http://schemas.openxmlformats.org/officeDocument/2006/relationships" name="В09 Інструкція" sheetId="74" state="visible" r:id="rId74"/>
    <sheet xmlns:r="http://schemas.openxmlformats.org/officeDocument/2006/relationships" name="В09 Профіль" sheetId="75" state="visible" r:id="rId75"/>
    <sheet xmlns:r="http://schemas.openxmlformats.org/officeDocument/2006/relationships" name="В09 Каталог" sheetId="76" state="visible" r:id="rId76"/>
    <sheet xmlns:r="http://schemas.openxmlformats.org/officeDocument/2006/relationships" name="В09 Активи" sheetId="77" state="visible" r:id="rId77"/>
    <sheet xmlns:r="http://schemas.openxmlformats.org/officeDocument/2006/relationships" name="В09 Чернетка" sheetId="78" state="visible" r:id="rId78"/>
    <sheet xmlns:r="http://schemas.openxmlformats.org/officeDocument/2006/relationships" name="В09 Ризики" sheetId="79" state="visible" r:id="rId79"/>
    <sheet xmlns:r="http://schemas.openxmlformats.org/officeDocument/2006/relationships" name="В09 Матриця" sheetId="80" state="visible" r:id="rId80"/>
    <sheet xmlns:r="http://schemas.openxmlformats.org/officeDocument/2006/relationships" name="В09 Бюджет" sheetId="81" state="visible" r:id="rId81"/>
    <sheet xmlns:r="http://schemas.openxmlformats.org/officeDocument/2006/relationships" name="В09 Обґрунтування" sheetId="82" state="visible" r:id="rId82"/>
    <sheet xmlns:r="http://schemas.openxmlformats.org/officeDocument/2006/relationships" name="В10 Інструкція" sheetId="83" state="visible" r:id="rId83"/>
    <sheet xmlns:r="http://schemas.openxmlformats.org/officeDocument/2006/relationships" name="В10 Профіль" sheetId="84" state="visible" r:id="rId84"/>
    <sheet xmlns:r="http://schemas.openxmlformats.org/officeDocument/2006/relationships" name="В10 Каталог" sheetId="85" state="visible" r:id="rId85"/>
    <sheet xmlns:r="http://schemas.openxmlformats.org/officeDocument/2006/relationships" name="В10 Активи" sheetId="86" state="visible" r:id="rId86"/>
    <sheet xmlns:r="http://schemas.openxmlformats.org/officeDocument/2006/relationships" name="В10 Чернетка" sheetId="87" state="visible" r:id="rId87"/>
    <sheet xmlns:r="http://schemas.openxmlformats.org/officeDocument/2006/relationships" name="В10 Ризики" sheetId="88" state="visible" r:id="rId88"/>
    <sheet xmlns:r="http://schemas.openxmlformats.org/officeDocument/2006/relationships" name="В10 Матриця" sheetId="89" state="visible" r:id="rId89"/>
    <sheet xmlns:r="http://schemas.openxmlformats.org/officeDocument/2006/relationships" name="В10 Бюджет" sheetId="90" state="visible" r:id="rId90"/>
    <sheet xmlns:r="http://schemas.openxmlformats.org/officeDocument/2006/relationships" name="В10 Обґрунтування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</font>
    <font>
      <name val="Calibri"/>
      <i val="1"/>
      <sz val="9"/>
    </font>
    <font>
      <name val="Calibri"/>
      <b val="1"/>
      <color rgb="001F3864"/>
      <sz val="12"/>
    </font>
    <font>
      <name val="Calibri"/>
      <b val="1"/>
      <sz val="14"/>
    </font>
    <font>
      <name val="Calibri"/>
      <i val="1"/>
      <sz val="10"/>
    </font>
    <font>
      <name val="Calibri"/>
      <b val="1"/>
      <sz val="11"/>
    </font>
    <font>
      <name val="Calibri"/>
      <sz val="11"/>
    </font>
    <font>
      <b val="1"/>
      <color rgb="001F3864"/>
      <sz val="15"/>
    </font>
    <font>
      <i val="1"/>
      <color rgb="00595959"/>
      <sz val="10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1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/>
      <protection locked="0" hidden="0"/>
    </xf>
    <xf numFmtId="0" fontId="4" fillId="4" borderId="1" applyAlignment="1" pivotButton="0" quotePrefix="0" xfId="0">
      <alignment horizontal="center" vertical="top"/>
    </xf>
    <xf numFmtId="0" fontId="5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1" pivotButton="0" quotePrefix="0" xfId="0"/>
    <xf numFmtId="0" fontId="13" fillId="2" borderId="1" applyAlignment="1" applyProtection="1" pivotButton="0" quotePrefix="0" xfId="0">
      <alignment horizontal="left"/>
      <protection locked="0" hidden="0"/>
    </xf>
    <xf numFmtId="0" fontId="13" fillId="0" borderId="1" applyAlignment="1" pivotButton="0" quotePrefix="0" xfId="0">
      <alignment horizontal="left"/>
    </xf>
    <xf numFmtId="9" fontId="13" fillId="0" borderId="1" applyAlignment="1" pivotButton="0" quotePrefix="0" xfId="0">
      <alignment horizontal="left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183"/>
          <bgColor rgb="00F4B183"/>
        </patternFill>
      </fill>
    </dxf>
    <dxf>
      <fill>
        <patternFill patternType="solid">
          <fgColor rgb="00FF7C80"/>
          <bgColor rgb="00FF7C80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84" Type="http://schemas.openxmlformats.org/officeDocument/2006/relationships/worksheet" Target="/xl/worksheets/sheet84.xml"/><Relationship Id="rId89" Type="http://schemas.openxmlformats.org/officeDocument/2006/relationships/worksheet" Target="/xl/worksheets/sheet89.xml"/><Relationship Id="rId16" Type="http://schemas.openxmlformats.org/officeDocument/2006/relationships/worksheet" Target="/xl/worksheets/sheet16.xml"/><Relationship Id="rId11" Type="http://schemas.openxmlformats.org/officeDocument/2006/relationships/worksheet" Target="/xl/worksheets/sheet11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74" Type="http://schemas.openxmlformats.org/officeDocument/2006/relationships/worksheet" Target="/xl/worksheets/sheet74.xml"/><Relationship Id="rId79" Type="http://schemas.openxmlformats.org/officeDocument/2006/relationships/worksheet" Target="/xl/worksheets/sheet79.xml"/><Relationship Id="rId5" Type="http://schemas.openxmlformats.org/officeDocument/2006/relationships/worksheet" Target="/xl/worksheets/sheet5.xml"/><Relationship Id="rId90" Type="http://schemas.openxmlformats.org/officeDocument/2006/relationships/worksheet" Target="/xl/worksheets/sheet90.xml"/><Relationship Id="rId95" Type="http://schemas.openxmlformats.org/officeDocument/2006/relationships/customXml" Target="../customXml/item2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worksheet" Target="/xl/worksheets/sheet72.xml"/><Relationship Id="rId80" Type="http://schemas.openxmlformats.org/officeDocument/2006/relationships/worksheet" Target="/xl/worksheets/sheet80.xml"/><Relationship Id="rId85" Type="http://schemas.openxmlformats.org/officeDocument/2006/relationships/worksheet" Target="/xl/worksheets/sheet85.xml"/><Relationship Id="rId93" Type="http://schemas.openxmlformats.org/officeDocument/2006/relationships/theme" Target="theme/theme1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worksheet" Target="/xl/worksheets/sheet75.xml"/><Relationship Id="rId83" Type="http://schemas.openxmlformats.org/officeDocument/2006/relationships/worksheet" Target="/xl/worksheets/sheet83.xml"/><Relationship Id="rId88" Type="http://schemas.openxmlformats.org/officeDocument/2006/relationships/worksheet" Target="/xl/worksheets/sheet88.xml"/><Relationship Id="rId91" Type="http://schemas.openxmlformats.org/officeDocument/2006/relationships/worksheet" Target="/xl/worksheets/sheet91.xml"/><Relationship Id="rId9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worksheet" Target="/xl/worksheets/sheet73.xml"/><Relationship Id="rId78" Type="http://schemas.openxmlformats.org/officeDocument/2006/relationships/worksheet" Target="/xl/worksheets/sheet78.xml"/><Relationship Id="rId81" Type="http://schemas.openxmlformats.org/officeDocument/2006/relationships/worksheet" Target="/xl/worksheets/sheet81.xml"/><Relationship Id="rId86" Type="http://schemas.openxmlformats.org/officeDocument/2006/relationships/worksheet" Target="/xl/worksheets/sheet86.xml"/><Relationship Id="rId94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worksheet" Target="/xl/worksheets/sheet76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Relationship Id="rId92" Type="http://schemas.openxmlformats.org/officeDocument/2006/relationships/styles" Target="styles.xml"/><Relationship Id="rId2" Type="http://schemas.openxmlformats.org/officeDocument/2006/relationships/worksheet" Target="/xl/worksheets/sheet2.xml"/><Relationship Id="rId29" Type="http://schemas.openxmlformats.org/officeDocument/2006/relationships/worksheet" Target="/xl/worksheets/sheet29.xml"/><Relationship Id="rId24" Type="http://schemas.openxmlformats.org/officeDocument/2006/relationships/worksheet" Target="/xl/worksheets/sheet24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66" Type="http://schemas.openxmlformats.org/officeDocument/2006/relationships/worksheet" Target="/xl/worksheets/sheet66.xml"/><Relationship Id="rId87" Type="http://schemas.openxmlformats.org/officeDocument/2006/relationships/worksheet" Target="/xl/worksheets/sheet87.xml"/><Relationship Id="rId61" Type="http://schemas.openxmlformats.org/officeDocument/2006/relationships/worksheet" Target="/xl/worksheets/sheet61.xml"/><Relationship Id="rId82" Type="http://schemas.openxmlformats.org/officeDocument/2006/relationships/worksheet" Target="/xl/worksheets/sheet82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56" Type="http://schemas.openxmlformats.org/officeDocument/2006/relationships/worksheet" Target="/xl/worksheets/sheet56.xml"/><Relationship Id="rId77" Type="http://schemas.openxmlformats.org/officeDocument/2006/relationships/worksheet" Target="/xl/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2;01 &#1030;&#1085;&#1089;&#1090;&#1088;&#1091;&#1082;&#1094;&#1110;&#1103;'!A1" TargetMode="External" Id="rId1"/><Relationship Type="http://schemas.openxmlformats.org/officeDocument/2006/relationships/hyperlink" Target="#'&#1042;02 &#1030;&#1085;&#1089;&#1090;&#1088;&#1091;&#1082;&#1094;&#1110;&#1103;'!A1" TargetMode="External" Id="rId2"/><Relationship Type="http://schemas.openxmlformats.org/officeDocument/2006/relationships/hyperlink" Target="#'&#1042;03 &#1030;&#1085;&#1089;&#1090;&#1088;&#1091;&#1082;&#1094;&#1110;&#1103;'!A1" TargetMode="External" Id="rId3"/><Relationship Type="http://schemas.openxmlformats.org/officeDocument/2006/relationships/hyperlink" Target="#'&#1042;04 &#1030;&#1085;&#1089;&#1090;&#1088;&#1091;&#1082;&#1094;&#1110;&#1103;'!A1" TargetMode="External" Id="rId4"/><Relationship Type="http://schemas.openxmlformats.org/officeDocument/2006/relationships/hyperlink" Target="#'&#1042;05 &#1030;&#1085;&#1089;&#1090;&#1088;&#1091;&#1082;&#1094;&#1110;&#1103;'!A1" TargetMode="External" Id="rId5"/><Relationship Type="http://schemas.openxmlformats.org/officeDocument/2006/relationships/hyperlink" Target="#'&#1042;06 &#1030;&#1085;&#1089;&#1090;&#1088;&#1091;&#1082;&#1094;&#1110;&#1103;'!A1" TargetMode="External" Id="rId6"/><Relationship Type="http://schemas.openxmlformats.org/officeDocument/2006/relationships/hyperlink" Target="#'&#1042;07 &#1030;&#1085;&#1089;&#1090;&#1088;&#1091;&#1082;&#1094;&#1110;&#1103;'!A1" TargetMode="External" Id="rId7"/><Relationship Type="http://schemas.openxmlformats.org/officeDocument/2006/relationships/hyperlink" Target="#'&#1042;08 &#1030;&#1085;&#1089;&#1090;&#1088;&#1091;&#1082;&#1094;&#1110;&#1103;'!A1" TargetMode="External" Id="rId8"/><Relationship Type="http://schemas.openxmlformats.org/officeDocument/2006/relationships/hyperlink" Target="#'&#1042;09 &#1030;&#1085;&#1089;&#1090;&#1088;&#1091;&#1082;&#1094;&#1110;&#1103;'!A1" TargetMode="External" Id="rId9"/><Relationship Type="http://schemas.openxmlformats.org/officeDocument/2006/relationships/hyperlink" Target="#'&#1042;10 &#1030;&#1085;&#1089;&#1090;&#1088;&#1091;&#1082;&#1094;&#1110;&#110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Усі варіанти в одному файлі</t>
        </is>
      </c>
    </row>
    <row r="2">
      <c r="A2" s="2" t="inlineStr">
        <is>
          <t>Кожен варіант має власні аркуші з префіксом «В01», «В02» тощо й свій колір вкладок. Натисніть на посилання, щоб перейти до варіанта.</t>
        </is>
      </c>
    </row>
    <row r="4">
      <c r="A4" s="3" t="inlineStr">
        <is>
          <t>Варіант</t>
        </is>
      </c>
      <c r="B4" s="3" t="inlineStr">
        <is>
          <t>Перехід</t>
        </is>
      </c>
    </row>
    <row r="5">
      <c r="A5" t="inlineStr">
        <is>
          <t>Варіант 01</t>
        </is>
      </c>
      <c r="B5" s="4" t="inlineStr">
        <is>
          <t>Відкрити аркуші варіанта 01</t>
        </is>
      </c>
    </row>
    <row r="6">
      <c r="A6" t="inlineStr">
        <is>
          <t>Варіант 02</t>
        </is>
      </c>
      <c r="B6" s="4" t="inlineStr">
        <is>
          <t>Відкрити аркуші варіанта 02</t>
        </is>
      </c>
    </row>
    <row r="7">
      <c r="A7" t="inlineStr">
        <is>
          <t>Варіант 03</t>
        </is>
      </c>
      <c r="B7" s="4" t="inlineStr">
        <is>
          <t>Відкрити аркуші варіанта 03</t>
        </is>
      </c>
    </row>
    <row r="8">
      <c r="A8" t="inlineStr">
        <is>
          <t>Варіант 04</t>
        </is>
      </c>
      <c r="B8" s="4" t="inlineStr">
        <is>
          <t>Відкрити аркуші варіанта 04</t>
        </is>
      </c>
    </row>
    <row r="9">
      <c r="A9" t="inlineStr">
        <is>
          <t>Варіант 05</t>
        </is>
      </c>
      <c r="B9" s="4" t="inlineStr">
        <is>
          <t>Відкрити аркуші варіанта 05</t>
        </is>
      </c>
    </row>
    <row r="10">
      <c r="A10" t="inlineStr">
        <is>
          <t>Варіант 06</t>
        </is>
      </c>
      <c r="B10" s="4" t="inlineStr">
        <is>
          <t>Відкрити аркуші варіанта 06</t>
        </is>
      </c>
    </row>
    <row r="11">
      <c r="A11" t="inlineStr">
        <is>
          <t>Варіант 07</t>
        </is>
      </c>
      <c r="B11" s="4" t="inlineStr">
        <is>
          <t>Відкрити аркуші варіанта 07</t>
        </is>
      </c>
    </row>
    <row r="12">
      <c r="A12" t="inlineStr">
        <is>
          <t>Варіант 08</t>
        </is>
      </c>
      <c r="B12" s="4" t="inlineStr">
        <is>
          <t>Відкрити аркуші варіанта 08</t>
        </is>
      </c>
    </row>
    <row r="13">
      <c r="A13" t="inlineStr">
        <is>
          <t>Варіант 09</t>
        </is>
      </c>
      <c r="B13" s="4" t="inlineStr">
        <is>
          <t>Відкрити аркуші варіанта 09</t>
        </is>
      </c>
    </row>
    <row r="14">
      <c r="A14" t="inlineStr">
        <is>
          <t>Варіант 10</t>
        </is>
      </c>
      <c r="B14" s="4" t="inlineStr">
        <is>
          <t>Відкрити аркуші варіанта 10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01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01</t>
        </is>
      </c>
    </row>
    <row r="2"/>
    <row r="3">
      <c r="A3" s="10" t="inlineStr">
        <is>
          <t>Номер варіанта</t>
        </is>
      </c>
      <c r="B3" s="11" t="inlineStr">
        <is>
          <t>01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погане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340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210</t>
        </is>
      </c>
    </row>
    <row r="12">
      <c r="A12" s="10" t="inlineStr">
        <is>
          <t>Резервне живлення</t>
        </is>
      </c>
      <c r="B12" s="11" t="inlineStr">
        <is>
          <t>лише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4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один провайдер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2</t>
        </is>
      </c>
    </row>
    <row r="16">
      <c r="A16" s="10" t="inlineStr">
        <is>
          <t>Особливий актив відділення</t>
        </is>
      </c>
      <c r="B16" s="11" t="inlineStr">
        <is>
          <t>Хмарний сервіс ДБО для малого бізнесу (доступ через браузер)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IF(COUNTIF('В01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IF(COUNTIF('В01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IF(COUNTIF('В01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IF(COUNTIF('В01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IF(COUNTIF('В01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IF(COUNTIF('В01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IF(COUNTIF('В01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IF(COUNTIF('В01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IF(COUNTIF('В01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IF(COUNTIF('В01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IF(COUNTIF('В01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IF(COUNTIF('В01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IF(COUNTIF('В01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IF(COUNTIF('В01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IF(COUNTIF('В01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Серверна</t>
        </is>
      </c>
      <c r="C5" s="14" t="inlineStr">
        <is>
          <t>Пожежа в серверній</t>
        </is>
      </c>
      <c r="D5" s="14" t="inlineStr">
        <is>
          <t>немає автоматичного пожежогасіння</t>
        </is>
      </c>
      <c r="E5" s="14" t="n">
        <v>5</v>
      </c>
      <c r="F5" s="14" t="n">
        <v>5</v>
      </c>
      <c r="G5" s="14" t="inlineStr">
        <is>
          <t>За останні сім років було лише один такий випадок у нашій мережі</t>
        </is>
      </c>
    </row>
    <row r="6">
      <c r="A6" s="14" t="n">
        <v>2</v>
      </c>
      <c r="B6" s="14" t="inlineStr">
        <is>
          <t>Вуличний банкомат (готівка)</t>
        </is>
      </c>
      <c r="C6" s="14" t="inlineStr">
        <is>
          <t>Крадіжка готівки з вуличного банкомата</t>
        </is>
      </c>
      <c r="D6" s="14" t="inlineStr">
        <is>
          <t>камери немає, освітлення погане</t>
        </is>
      </c>
      <c r="E6" s="14" t="n">
        <v>4</v>
      </c>
      <c r="F6" s="14" t="n">
        <v>4</v>
      </c>
      <c r="G6" s="14" t="inlineStr">
        <is>
          <t>перший з двох записів про одне й те саме</t>
        </is>
      </c>
    </row>
    <row r="7">
      <c r="A7" s="14" t="n">
        <v>3</v>
      </c>
      <c r="B7" s="14" t="inlineStr">
        <is>
          <t>Серверна й обладнання відділення</t>
        </is>
      </c>
      <c r="C7" s="14" t="inlineStr">
        <is>
          <t>Зловживання правами недобросовісним співробітником</t>
        </is>
      </c>
      <c r="D7" s="14" t="inlineStr">
        <is>
          <t>права адміністратора в кількох працівників, журнали не переглядають</t>
        </is>
      </c>
      <c r="E7" s="14" t="n">
        <v>2</v>
      </c>
      <c r="F7" s="14" t="n">
        <v>4</v>
      </c>
      <c r="G7" s="14" t="inlineStr">
        <is>
          <t>оцінено за політикою доступу</t>
        </is>
      </c>
    </row>
    <row r="8">
      <c r="A8" s="14" t="n">
        <v>4</v>
      </c>
      <c r="B8" s="14" t="inlineStr">
        <is>
          <t>Вуличний банкомат (готівка)</t>
        </is>
      </c>
      <c r="C8" s="14" t="inlineStr">
        <is>
          <t>Злам банкомата з метою вилучення готівки</t>
        </is>
      </c>
      <c r="D8" s="14" t="inlineStr">
        <is>
          <t>камери немає, освітлення погане</t>
        </is>
      </c>
      <c r="E8" s="14" t="n">
        <v>4</v>
      </c>
      <c r="F8" s="14" t="n">
        <v>4</v>
      </c>
      <c r="G8" s="14" t="inlineStr">
        <is>
          <t>другий запис, інші слова</t>
        </is>
      </c>
    </row>
    <row r="9">
      <c r="A9" s="14" t="n">
        <v>5</v>
      </c>
      <c r="B9" s="14" t="inlineStr">
        <is>
          <t>Вуличний банкомат (картки клієнтів)</t>
        </is>
      </c>
      <c r="C9" s="14" t="inlineStr">
        <is>
          <t>Встановлення скімера й масове копіювання карток</t>
        </is>
      </c>
      <c r="D9" s="14" t="inlineStr">
        <is>
          <t>камери немає, освітлення погане</t>
        </is>
      </c>
      <c r="E9" s="14" t="n">
        <v>4</v>
      </c>
      <c r="F9" s="14" t="n">
        <v>4</v>
      </c>
      <c r="G9" s="14" t="inlineStr">
        <is>
          <t>оцінено за даними профілю</t>
        </is>
      </c>
    </row>
    <row r="10">
      <c r="A10" s="14" t="n">
        <v>6</v>
      </c>
      <c r="B10" s="14" t="n"/>
      <c r="C10" s="14" t="inlineStr">
        <is>
          <t>Фішинг</t>
        </is>
      </c>
      <c r="D10" s="14" t="n"/>
      <c r="E10" s="14" t="n">
        <v>4</v>
      </c>
      <c r="F10" s="14" t="n">
        <v>4</v>
      </c>
      <c r="G10" s="14" t="inlineStr">
        <is>
          <t>Дуже небезпечно, треба бачити</t>
        </is>
      </c>
    </row>
    <row r="11">
      <c r="A11" s="14" t="n">
        <v>7</v>
      </c>
      <c r="B11" s="14" t="inlineStr">
        <is>
          <t>Канал зв'язку з головним офісом</t>
        </is>
      </c>
      <c r="C11" s="14" t="inlineStr">
        <is>
          <t>Відмова каналу до головного офісу</t>
        </is>
      </c>
      <c r="D11" s="14" t="inlineStr">
        <is>
          <t>один провайдер</t>
        </is>
      </c>
      <c r="E11" s="14" t="n">
        <v>3</v>
      </c>
      <c r="F11" s="14" t="n">
        <v>4</v>
      </c>
      <c r="G11" s="14" t="inlineStr">
        <is>
          <t>оцінено за даними профілю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IF(L5="",0,IFERROR(IF(ISNUMBER(SEARCH(E5,INDEX('В01 Каталог'!$D$5:$D$19,MATCH(L5,'В01 Каталог'!$B$5:$B$19,0)))),INDEX('В01 Каталог'!$E$5:$E$19,MATCH(L5,'В01 Каталог'!$B$5:$B$19,0)),0),0))</f>
        <v/>
      </c>
      <c r="N5" s="23">
        <f>IF(L5="",0,IFERROR(IF(ISNUMBER(SEARCH(E5,INDEX('В01 Каталог'!$D$5:$D$19,MATCH(L5,'В01 Каталог'!$B$5:$B$19,0)))),INDEX('В01 Каталог'!$F$5:$F$19,MATCH(L5,'В01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категорію",IF(AND(L5&lt;&gt;"",INDEX('В01 Каталог'!$H$5:$H$19,MATCH(L5,'В01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IF(L6="",0,IFERROR(IF(ISNUMBER(SEARCH(E6,INDEX('В01 Каталог'!$D$5:$D$19,MATCH(L6,'В01 Каталог'!$B$5:$B$19,0)))),INDEX('В01 Каталог'!$E$5:$E$19,MATCH(L6,'В01 Каталог'!$B$5:$B$19,0)),0),0))</f>
        <v/>
      </c>
      <c r="N6" s="23">
        <f>IF(L6="",0,IFERROR(IF(ISNUMBER(SEARCH(E6,INDEX('В01 Каталог'!$D$5:$D$19,MATCH(L6,'В01 Каталог'!$B$5:$B$19,0)))),INDEX('В01 Каталог'!$F$5:$F$19,MATCH(L6,'В01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категорію",IF(AND(L6&lt;&gt;"",INDEX('В01 Каталог'!$H$5:$H$19,MATCH(L6,'В01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IF(L7="",0,IFERROR(IF(ISNUMBER(SEARCH(E7,INDEX('В01 Каталог'!$D$5:$D$19,MATCH(L7,'В01 Каталог'!$B$5:$B$19,0)))),INDEX('В01 Каталог'!$E$5:$E$19,MATCH(L7,'В01 Каталог'!$B$5:$B$19,0)),0),0))</f>
        <v/>
      </c>
      <c r="N7" s="23">
        <f>IF(L7="",0,IFERROR(IF(ISNUMBER(SEARCH(E7,INDEX('В01 Каталог'!$D$5:$D$19,MATCH(L7,'В01 Каталог'!$B$5:$B$19,0)))),INDEX('В01 Каталог'!$F$5:$F$19,MATCH(L7,'В01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категорію",IF(AND(L7&lt;&gt;"",INDEX('В01 Каталог'!$H$5:$H$19,MATCH(L7,'В01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IF(L8="",0,IFERROR(IF(ISNUMBER(SEARCH(E8,INDEX('В01 Каталог'!$D$5:$D$19,MATCH(L8,'В01 Каталог'!$B$5:$B$19,0)))),INDEX('В01 Каталог'!$E$5:$E$19,MATCH(L8,'В01 Каталог'!$B$5:$B$19,0)),0),0))</f>
        <v/>
      </c>
      <c r="N8" s="23">
        <f>IF(L8="",0,IFERROR(IF(ISNUMBER(SEARCH(E8,INDEX('В01 Каталог'!$D$5:$D$19,MATCH(L8,'В01 Каталог'!$B$5:$B$19,0)))),INDEX('В01 Каталог'!$F$5:$F$19,MATCH(L8,'В01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категорію",IF(AND(L8&lt;&gt;"",INDEX('В01 Каталог'!$H$5:$H$19,MATCH(L8,'В01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IF(L9="",0,IFERROR(IF(ISNUMBER(SEARCH(E9,INDEX('В01 Каталог'!$D$5:$D$19,MATCH(L9,'В01 Каталог'!$B$5:$B$19,0)))),INDEX('В01 Каталог'!$E$5:$E$19,MATCH(L9,'В01 Каталог'!$B$5:$B$19,0)),0),0))</f>
        <v/>
      </c>
      <c r="N9" s="23">
        <f>IF(L9="",0,IFERROR(IF(ISNUMBER(SEARCH(E9,INDEX('В01 Каталог'!$D$5:$D$19,MATCH(L9,'В01 Каталог'!$B$5:$B$19,0)))),INDEX('В01 Каталог'!$F$5:$F$19,MATCH(L9,'В01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категорію",IF(AND(L9&lt;&gt;"",INDEX('В01 Каталог'!$H$5:$H$19,MATCH(L9,'В01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IF(L10="",0,IFERROR(IF(ISNUMBER(SEARCH(E10,INDEX('В01 Каталог'!$D$5:$D$19,MATCH(L10,'В01 Каталог'!$B$5:$B$19,0)))),INDEX('В01 Каталог'!$E$5:$E$19,MATCH(L10,'В01 Каталог'!$B$5:$B$19,0)),0),0))</f>
        <v/>
      </c>
      <c r="N10" s="23">
        <f>IF(L10="",0,IFERROR(IF(ISNUMBER(SEARCH(E10,INDEX('В01 Каталог'!$D$5:$D$19,MATCH(L10,'В01 Каталог'!$B$5:$B$19,0)))),INDEX('В01 Каталог'!$F$5:$F$19,MATCH(L10,'В01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категорію",IF(AND(L10&lt;&gt;"",INDEX('В01 Каталог'!$H$5:$H$19,MATCH(L10,'В01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IF(L11="",0,IFERROR(IF(ISNUMBER(SEARCH(E11,INDEX('В01 Каталог'!$D$5:$D$19,MATCH(L11,'В01 Каталог'!$B$5:$B$19,0)))),INDEX('В01 Каталог'!$E$5:$E$19,MATCH(L11,'В01 Каталог'!$B$5:$B$19,0)),0),0))</f>
        <v/>
      </c>
      <c r="N11" s="23">
        <f>IF(L11="",0,IFERROR(IF(ISNUMBER(SEARCH(E11,INDEX('В01 Каталог'!$D$5:$D$19,MATCH(L11,'В01 Каталог'!$B$5:$B$19,0)))),INDEX('В01 Каталог'!$F$5:$F$19,MATCH(L11,'В01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категорію",IF(AND(L11&lt;&gt;"",INDEX('В01 Каталог'!$H$5:$H$19,MATCH(L11,'В01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IF(L12="",0,IFERROR(IF(ISNUMBER(SEARCH(E12,INDEX('В01 Каталог'!$D$5:$D$19,MATCH(L12,'В01 Каталог'!$B$5:$B$19,0)))),INDEX('В01 Каталог'!$E$5:$E$19,MATCH(L12,'В01 Каталог'!$B$5:$B$19,0)),0),0))</f>
        <v/>
      </c>
      <c r="N12" s="23">
        <f>IF(L12="",0,IFERROR(IF(ISNUMBER(SEARCH(E12,INDEX('В01 Каталог'!$D$5:$D$19,MATCH(L12,'В01 Каталог'!$B$5:$B$19,0)))),INDEX('В01 Каталог'!$F$5:$F$19,MATCH(L12,'В01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категорію",IF(AND(L12&lt;&gt;"",INDEX('В01 Каталог'!$H$5:$H$19,MATCH(L12,'В01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IF(L13="",0,IFERROR(IF(ISNUMBER(SEARCH(E13,INDEX('В01 Каталог'!$D$5:$D$19,MATCH(L13,'В01 Каталог'!$B$5:$B$19,0)))),INDEX('В01 Каталог'!$E$5:$E$19,MATCH(L13,'В01 Каталог'!$B$5:$B$19,0)),0),0))</f>
        <v/>
      </c>
      <c r="N13" s="23">
        <f>IF(L13="",0,IFERROR(IF(ISNUMBER(SEARCH(E13,INDEX('В01 Каталог'!$D$5:$D$19,MATCH(L13,'В01 Каталог'!$B$5:$B$19,0)))),INDEX('В01 Каталог'!$F$5:$F$19,MATCH(L13,'В01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категорію",IF(AND(L13&lt;&gt;"",INDEX('В01 Каталог'!$H$5:$H$19,MATCH(L13,'В01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IF(L14="",0,IFERROR(IF(ISNUMBER(SEARCH(E14,INDEX('В01 Каталог'!$D$5:$D$19,MATCH(L14,'В01 Каталог'!$B$5:$B$19,0)))),INDEX('В01 Каталог'!$E$5:$E$19,MATCH(L14,'В01 Каталог'!$B$5:$B$19,0)),0),0))</f>
        <v/>
      </c>
      <c r="N14" s="23">
        <f>IF(L14="",0,IFERROR(IF(ISNUMBER(SEARCH(E14,INDEX('В01 Каталог'!$D$5:$D$19,MATCH(L14,'В01 Каталог'!$B$5:$B$19,0)))),INDEX('В01 Каталог'!$F$5:$F$19,MATCH(L14,'В01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категорію",IF(AND(L14&lt;&gt;"",INDEX('В01 Каталог'!$H$5:$H$19,MATCH(L14,'В01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IF(L15="",0,IFERROR(IF(ISNUMBER(SEARCH(E15,INDEX('В01 Каталог'!$D$5:$D$19,MATCH(L15,'В01 Каталог'!$B$5:$B$19,0)))),INDEX('В01 Каталог'!$E$5:$E$19,MATCH(L15,'В01 Каталог'!$B$5:$B$19,0)),0),0))</f>
        <v/>
      </c>
      <c r="N15" s="23">
        <f>IF(L15="",0,IFERROR(IF(ISNUMBER(SEARCH(E15,INDEX('В01 Каталог'!$D$5:$D$19,MATCH(L15,'В01 Каталог'!$B$5:$B$19,0)))),INDEX('В01 Каталог'!$F$5:$F$19,MATCH(L15,'В01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категорію",IF(AND(L15&lt;&gt;"",INDEX('В01 Каталог'!$H$5:$H$19,MATCH(L15,'В01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IF(L16="",0,IFERROR(IF(ISNUMBER(SEARCH(E16,INDEX('В01 Каталог'!$D$5:$D$19,MATCH(L16,'В01 Каталог'!$B$5:$B$19,0)))),INDEX('В01 Каталог'!$E$5:$E$19,MATCH(L16,'В01 Каталог'!$B$5:$B$19,0)),0),0))</f>
        <v/>
      </c>
      <c r="N16" s="23">
        <f>IF(L16="",0,IFERROR(IF(ISNUMBER(SEARCH(E16,INDEX('В01 Каталог'!$D$5:$D$19,MATCH(L16,'В01 Каталог'!$B$5:$B$19,0)))),INDEX('В01 Каталог'!$F$5:$F$19,MATCH(L16,'В01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категорію",IF(AND(L16&lt;&gt;"",INDEX('В01 Каталог'!$H$5:$H$19,MATCH(L16,'В01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IF(L17="",0,IFERROR(IF(ISNUMBER(SEARCH(E17,INDEX('В01 Каталог'!$D$5:$D$19,MATCH(L17,'В01 Каталог'!$B$5:$B$19,0)))),INDEX('В01 Каталог'!$E$5:$E$19,MATCH(L17,'В01 Каталог'!$B$5:$B$19,0)),0),0))</f>
        <v/>
      </c>
      <c r="N17" s="23">
        <f>IF(L17="",0,IFERROR(IF(ISNUMBER(SEARCH(E17,INDEX('В01 Каталог'!$D$5:$D$19,MATCH(L17,'В01 Каталог'!$B$5:$B$19,0)))),INDEX('В01 Каталог'!$F$5:$F$19,MATCH(L17,'В01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категорію",IF(AND(L17&lt;&gt;"",INDEX('В01 Каталог'!$H$5:$H$19,MATCH(L17,'В01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IF(L18="",0,IFERROR(IF(ISNUMBER(SEARCH(E18,INDEX('В01 Каталог'!$D$5:$D$19,MATCH(L18,'В01 Каталог'!$B$5:$B$19,0)))),INDEX('В01 Каталог'!$E$5:$E$19,MATCH(L18,'В01 Каталог'!$B$5:$B$19,0)),0),0))</f>
        <v/>
      </c>
      <c r="N18" s="23">
        <f>IF(L18="",0,IFERROR(IF(ISNUMBER(SEARCH(E18,INDEX('В01 Каталог'!$D$5:$D$19,MATCH(L18,'В01 Каталог'!$B$5:$B$19,0)))),INDEX('В01 Каталог'!$F$5:$F$19,MATCH(L18,'В01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категорію",IF(AND(L18&lt;&gt;"",INDEX('В01 Каталог'!$H$5:$H$19,MATCH(L18,'В01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IF(L19="",0,IFERROR(IF(ISNUMBER(SEARCH(E19,INDEX('В01 Каталог'!$D$5:$D$19,MATCH(L19,'В01 Каталог'!$B$5:$B$19,0)))),INDEX('В01 Каталог'!$E$5:$E$19,MATCH(L19,'В01 Каталог'!$B$5:$B$19,0)),0),0))</f>
        <v/>
      </c>
      <c r="N19" s="23">
        <f>IF(L19="",0,IFERROR(IF(ISNUMBER(SEARCH(E19,INDEX('В01 Каталог'!$D$5:$D$19,MATCH(L19,'В01 Каталог'!$B$5:$B$19,0)))),INDEX('В01 Каталог'!$F$5:$F$19,MATCH(L19,'В01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категорію",IF(AND(L19&lt;&gt;"",INDEX('В01 Каталог'!$H$5:$H$19,MATCH(L19,'В01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IF(L20="",0,IFERROR(IF(ISNUMBER(SEARCH(E20,INDEX('В01 Каталог'!$D$5:$D$19,MATCH(L20,'В01 Каталог'!$B$5:$B$19,0)))),INDEX('В01 Каталог'!$E$5:$E$19,MATCH(L20,'В01 Каталог'!$B$5:$B$19,0)),0),0))</f>
        <v/>
      </c>
      <c r="N20" s="23">
        <f>IF(L20="",0,IFERROR(IF(ISNUMBER(SEARCH(E20,INDEX('В01 Каталог'!$D$5:$D$19,MATCH(L20,'В01 Каталог'!$B$5:$B$19,0)))),INDEX('В01 Каталог'!$F$5:$F$19,MATCH(L20,'В01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категорію",IF(AND(L20&lt;&gt;"",INDEX('В01 Каталог'!$H$5:$H$19,MATCH(L20,'В01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IF(L21="",0,IFERROR(IF(ISNUMBER(SEARCH(E21,INDEX('В01 Каталог'!$D$5:$D$19,MATCH(L21,'В01 Каталог'!$B$5:$B$19,0)))),INDEX('В01 Каталог'!$E$5:$E$19,MATCH(L21,'В01 Каталог'!$B$5:$B$19,0)),0),0))</f>
        <v/>
      </c>
      <c r="N21" s="23">
        <f>IF(L21="",0,IFERROR(IF(ISNUMBER(SEARCH(E21,INDEX('В01 Каталог'!$D$5:$D$19,MATCH(L21,'В01 Каталог'!$B$5:$B$19,0)))),INDEX('В01 Каталог'!$F$5:$F$19,MATCH(L21,'В01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категорію",IF(AND(L21&lt;&gt;"",INDEX('В01 Каталог'!$H$5:$H$19,MATCH(L21,'В01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IF(L22="",0,IFERROR(IF(ISNUMBER(SEARCH(E22,INDEX('В01 Каталог'!$D$5:$D$19,MATCH(L22,'В01 Каталог'!$B$5:$B$19,0)))),INDEX('В01 Каталог'!$E$5:$E$19,MATCH(L22,'В01 Каталог'!$B$5:$B$19,0)),0),0))</f>
        <v/>
      </c>
      <c r="N22" s="23">
        <f>IF(L22="",0,IFERROR(IF(ISNUMBER(SEARCH(E22,INDEX('В01 Каталог'!$D$5:$D$19,MATCH(L22,'В01 Каталог'!$B$5:$B$19,0)))),INDEX('В01 Каталог'!$F$5:$F$19,MATCH(L22,'В01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категорію",IF(AND(L22&lt;&gt;"",INDEX('В01 Каталог'!$H$5:$H$19,MATCH(L22,'В01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IF(L23="",0,IFERROR(IF(ISNUMBER(SEARCH(E23,INDEX('В01 Каталог'!$D$5:$D$19,MATCH(L23,'В01 Каталог'!$B$5:$B$19,0)))),INDEX('В01 Каталог'!$E$5:$E$19,MATCH(L23,'В01 Каталог'!$B$5:$B$19,0)),0),0))</f>
        <v/>
      </c>
      <c r="N23" s="23">
        <f>IF(L23="",0,IFERROR(IF(ISNUMBER(SEARCH(E23,INDEX('В01 Каталог'!$D$5:$D$19,MATCH(L23,'В01 Каталог'!$B$5:$B$19,0)))),INDEX('В01 Каталог'!$F$5:$F$19,MATCH(L23,'В01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категорію",IF(AND(L23&lt;&gt;"",INDEX('В01 Каталог'!$H$5:$H$19,MATCH(L23,'В01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IF(L24="",0,IFERROR(IF(ISNUMBER(SEARCH(E24,INDEX('В01 Каталог'!$D$5:$D$19,MATCH(L24,'В01 Каталог'!$B$5:$B$19,0)))),INDEX('В01 Каталог'!$E$5:$E$19,MATCH(L24,'В01 Каталог'!$B$5:$B$19,0)),0),0))</f>
        <v/>
      </c>
      <c r="N24" s="23">
        <f>IF(L24="",0,IFERROR(IF(ISNUMBER(SEARCH(E24,INDEX('В01 Каталог'!$D$5:$D$19,MATCH(L24,'В01 Каталог'!$B$5:$B$19,0)))),INDEX('В01 Каталог'!$F$5:$F$19,MATCH(L24,'В01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категорію",IF(AND(L24&lt;&gt;"",INDEX('В01 Каталог'!$H$5:$H$19,MATCH(L24,'В01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='В01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='В01 Каталог'!$B$5:$B$19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COUNTIFS('В01 Ризики'!$F$5:$F$24,1,'В01 Ризики'!$G$5:$G$24,5)</f>
        <v/>
      </c>
      <c r="C6" s="26">
        <f>COUNTIFS('В01 Ризики'!$F$5:$F$24,2,'В01 Ризики'!$G$5:$G$24,5)</f>
        <v/>
      </c>
      <c r="D6" s="26">
        <f>COUNTIFS('В01 Ризики'!$F$5:$F$24,3,'В01 Ризики'!$G$5:$G$24,5)</f>
        <v/>
      </c>
      <c r="E6" s="27">
        <f>COUNTIFS('В01 Ризики'!$F$5:$F$24,4,'В01 Ризики'!$G$5:$G$24,5)</f>
        <v/>
      </c>
      <c r="F6" s="27">
        <f>COUNTIFS('В01 Ризики'!$F$5:$F$24,5,'В01 Ризики'!$G$5:$G$24,5)</f>
        <v/>
      </c>
      <c r="I6" s="24" t="inlineStr">
        <is>
          <t>C = 5</t>
        </is>
      </c>
      <c r="J6" s="25">
        <f>COUNTIFS('В01 Ризики'!$O$5:$O$24,1,'В01 Ризики'!$P$5:$P$24,5)</f>
        <v/>
      </c>
      <c r="K6" s="26">
        <f>COUNTIFS('В01 Ризики'!$O$5:$O$24,2,'В01 Ризики'!$P$5:$P$24,5)</f>
        <v/>
      </c>
      <c r="L6" s="26">
        <f>COUNTIFS('В01 Ризики'!$O$5:$O$24,3,'В01 Ризики'!$P$5:$P$24,5)</f>
        <v/>
      </c>
      <c r="M6" s="27">
        <f>COUNTIFS('В01 Ризики'!$O$5:$O$24,4,'В01 Ризики'!$P$5:$P$24,5)</f>
        <v/>
      </c>
      <c r="N6" s="27">
        <f>COUNTIFS('В01 Ризики'!$O$5:$O$24,5,'В01 Ризики'!$P$5:$P$24,5)</f>
        <v/>
      </c>
    </row>
    <row r="7" ht="34" customHeight="1">
      <c r="A7" s="24" t="inlineStr">
        <is>
          <t>C = 4</t>
        </is>
      </c>
      <c r="B7" s="28">
        <f>COUNTIFS('В01 Ризики'!$F$5:$F$24,1,'В01 Ризики'!$G$5:$G$24,4)</f>
        <v/>
      </c>
      <c r="C7" s="25">
        <f>COUNTIFS('В01 Ризики'!$F$5:$F$24,2,'В01 Ризики'!$G$5:$G$24,4)</f>
        <v/>
      </c>
      <c r="D7" s="26">
        <f>COUNTIFS('В01 Ризики'!$F$5:$F$24,3,'В01 Ризики'!$G$5:$G$24,4)</f>
        <v/>
      </c>
      <c r="E7" s="26">
        <f>COUNTIFS('В01 Ризики'!$F$5:$F$24,4,'В01 Ризики'!$G$5:$G$24,4)</f>
        <v/>
      </c>
      <c r="F7" s="27">
        <f>COUNTIFS('В01 Ризики'!$F$5:$F$24,5,'В01 Ризики'!$G$5:$G$24,4)</f>
        <v/>
      </c>
      <c r="I7" s="24" t="inlineStr">
        <is>
          <t>C = 4</t>
        </is>
      </c>
      <c r="J7" s="28">
        <f>COUNTIFS('В01 Ризики'!$O$5:$O$24,1,'В01 Ризики'!$P$5:$P$24,4)</f>
        <v/>
      </c>
      <c r="K7" s="25">
        <f>COUNTIFS('В01 Ризики'!$O$5:$O$24,2,'В01 Ризики'!$P$5:$P$24,4)</f>
        <v/>
      </c>
      <c r="L7" s="26">
        <f>COUNTIFS('В01 Ризики'!$O$5:$O$24,3,'В01 Ризики'!$P$5:$P$24,4)</f>
        <v/>
      </c>
      <c r="M7" s="26">
        <f>COUNTIFS('В01 Ризики'!$O$5:$O$24,4,'В01 Ризики'!$P$5:$P$24,4)</f>
        <v/>
      </c>
      <c r="N7" s="27">
        <f>COUNTIFS('В01 Ризики'!$O$5:$O$24,5,'В01 Ризики'!$P$5:$P$24,4)</f>
        <v/>
      </c>
    </row>
    <row r="8" ht="34" customHeight="1">
      <c r="A8" s="24" t="inlineStr">
        <is>
          <t>C = 3</t>
        </is>
      </c>
      <c r="B8" s="28">
        <f>COUNTIFS('В01 Ризики'!$F$5:$F$24,1,'В01 Ризики'!$G$5:$G$24,3)</f>
        <v/>
      </c>
      <c r="C8" s="25">
        <f>COUNTIFS('В01 Ризики'!$F$5:$F$24,2,'В01 Ризики'!$G$5:$G$24,3)</f>
        <v/>
      </c>
      <c r="D8" s="25">
        <f>COUNTIFS('В01 Ризики'!$F$5:$F$24,3,'В01 Ризики'!$G$5:$G$24,3)</f>
        <v/>
      </c>
      <c r="E8" s="26">
        <f>COUNTIFS('В01 Ризики'!$F$5:$F$24,4,'В01 Ризики'!$G$5:$G$24,3)</f>
        <v/>
      </c>
      <c r="F8" s="26">
        <f>COUNTIFS('В01 Ризики'!$F$5:$F$24,5,'В01 Ризики'!$G$5:$G$24,3)</f>
        <v/>
      </c>
      <c r="I8" s="24" t="inlineStr">
        <is>
          <t>C = 3</t>
        </is>
      </c>
      <c r="J8" s="28">
        <f>COUNTIFS('В01 Ризики'!$O$5:$O$24,1,'В01 Ризики'!$P$5:$P$24,3)</f>
        <v/>
      </c>
      <c r="K8" s="25">
        <f>COUNTIFS('В01 Ризики'!$O$5:$O$24,2,'В01 Ризики'!$P$5:$P$24,3)</f>
        <v/>
      </c>
      <c r="L8" s="25">
        <f>COUNTIFS('В01 Ризики'!$O$5:$O$24,3,'В01 Ризики'!$P$5:$P$24,3)</f>
        <v/>
      </c>
      <c r="M8" s="26">
        <f>COUNTIFS('В01 Ризики'!$O$5:$O$24,4,'В01 Ризики'!$P$5:$P$24,3)</f>
        <v/>
      </c>
      <c r="N8" s="26">
        <f>COUNTIFS('В01 Ризики'!$O$5:$O$24,5,'В01 Ризики'!$P$5:$P$24,3)</f>
        <v/>
      </c>
    </row>
    <row r="9" ht="34" customHeight="1">
      <c r="A9" s="24" t="inlineStr">
        <is>
          <t>C = 2</t>
        </is>
      </c>
      <c r="B9" s="28">
        <f>COUNTIFS('В01 Ризики'!$F$5:$F$24,1,'В01 Ризики'!$G$5:$G$24,2)</f>
        <v/>
      </c>
      <c r="C9" s="28">
        <f>COUNTIFS('В01 Ризики'!$F$5:$F$24,2,'В01 Ризики'!$G$5:$G$24,2)</f>
        <v/>
      </c>
      <c r="D9" s="25">
        <f>COUNTIFS('В01 Ризики'!$F$5:$F$24,3,'В01 Ризики'!$G$5:$G$24,2)</f>
        <v/>
      </c>
      <c r="E9" s="25">
        <f>COUNTIFS('В01 Ризики'!$F$5:$F$24,4,'В01 Ризики'!$G$5:$G$24,2)</f>
        <v/>
      </c>
      <c r="F9" s="26">
        <f>COUNTIFS('В01 Ризики'!$F$5:$F$24,5,'В01 Ризики'!$G$5:$G$24,2)</f>
        <v/>
      </c>
      <c r="I9" s="24" t="inlineStr">
        <is>
          <t>C = 2</t>
        </is>
      </c>
      <c r="J9" s="28">
        <f>COUNTIFS('В01 Ризики'!$O$5:$O$24,1,'В01 Ризики'!$P$5:$P$24,2)</f>
        <v/>
      </c>
      <c r="K9" s="28">
        <f>COUNTIFS('В01 Ризики'!$O$5:$O$24,2,'В01 Ризики'!$P$5:$P$24,2)</f>
        <v/>
      </c>
      <c r="L9" s="25">
        <f>COUNTIFS('В01 Ризики'!$O$5:$O$24,3,'В01 Ризики'!$P$5:$P$24,2)</f>
        <v/>
      </c>
      <c r="M9" s="25">
        <f>COUNTIFS('В01 Ризики'!$O$5:$O$24,4,'В01 Ризики'!$P$5:$P$24,2)</f>
        <v/>
      </c>
      <c r="N9" s="26">
        <f>COUNTIFS('В01 Ризики'!$O$5:$O$24,5,'В01 Ризики'!$P$5:$P$24,2)</f>
        <v/>
      </c>
    </row>
    <row r="10" ht="34" customHeight="1">
      <c r="A10" s="24" t="inlineStr">
        <is>
          <t>C = 1</t>
        </is>
      </c>
      <c r="B10" s="28">
        <f>COUNTIFS('В01 Ризики'!$F$5:$F$24,1,'В01 Ризики'!$G$5:$G$24,1)</f>
        <v/>
      </c>
      <c r="C10" s="28">
        <f>COUNTIFS('В01 Ризики'!$F$5:$F$24,2,'В01 Ризики'!$G$5:$G$24,1)</f>
        <v/>
      </c>
      <c r="D10" s="28">
        <f>COUNTIFS('В01 Ризики'!$F$5:$F$24,3,'В01 Ризики'!$G$5:$G$24,1)</f>
        <v/>
      </c>
      <c r="E10" s="28">
        <f>COUNTIFS('В01 Ризики'!$F$5:$F$24,4,'В01 Ризики'!$G$5:$G$24,1)</f>
        <v/>
      </c>
      <c r="F10" s="25">
        <f>COUNTIFS('В01 Ризики'!$F$5:$F$24,5,'В01 Ризики'!$G$5:$G$24,1)</f>
        <v/>
      </c>
      <c r="I10" s="24" t="inlineStr">
        <is>
          <t>C = 1</t>
        </is>
      </c>
      <c r="J10" s="28">
        <f>COUNTIFS('В01 Ризики'!$O$5:$O$24,1,'В01 Ризики'!$P$5:$P$24,1)</f>
        <v/>
      </c>
      <c r="K10" s="28">
        <f>COUNTIFS('В01 Ризики'!$O$5:$O$24,2,'В01 Ризики'!$P$5:$P$24,1)</f>
        <v/>
      </c>
      <c r="L10" s="28">
        <f>COUNTIFS('В01 Ризики'!$O$5:$O$24,3,'В01 Ризики'!$P$5:$P$24,1)</f>
        <v/>
      </c>
      <c r="M10" s="28">
        <f>COUNTIFS('В01 Ризики'!$O$5:$O$24,4,'В01 Ризики'!$P$5:$P$24,1)</f>
        <v/>
      </c>
      <c r="N10" s="25">
        <f>COUNTIFS('В01 Ризики'!$O$5:$O$24,5,'В01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SUM('В01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SUM('В01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SUM('В01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COUNTIF('В01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SUMPRODUCT(('В01 Ризики'!J5:J24="Так")*('В01 Ризики'!R5:R24&lt;&gt;"ОК"))</f>
        <v/>
      </c>
    </row>
    <row r="13">
      <c r="A13" s="31" t="inlineStr">
        <is>
          <t>Ризики у реєстрі</t>
        </is>
      </c>
      <c r="B13" s="33">
        <f>COUNTA('В01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02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02</t>
        </is>
      </c>
    </row>
    <row r="2"/>
    <row r="3">
      <c r="A3" s="10" t="inlineStr">
        <is>
          <t>Номер варіанта</t>
        </is>
      </c>
      <c r="B3" s="11" t="inlineStr">
        <is>
          <t>02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215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130</t>
        </is>
      </c>
    </row>
    <row r="12">
      <c r="A12" s="10" t="inlineStr">
        <is>
          <t>Резервне живлення</t>
        </is>
      </c>
      <c r="B12" s="11" t="inlineStr">
        <is>
          <t>генератор і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2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0</t>
        </is>
      </c>
    </row>
    <row r="16">
      <c r="A16" s="10" t="inlineStr">
        <is>
          <t>Особливий актив відділення</t>
        </is>
      </c>
      <c r="B16" s="11" t="inlineStr">
        <is>
          <t>Сервер відеоспостереження з віддаленим веб-доступом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IF(COUNTIF('В02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IF(COUNTIF('В02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IF(COUNTIF('В02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IF(COUNTIF('В02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IF(COUNTIF('В02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IF(COUNTIF('В02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IF(COUNTIF('В02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IF(COUNTIF('В02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IF(COUNTIF('В02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IF(COUNTIF('В02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IF(COUNTIF('В02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IF(COUNTIF('В02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IF(COUNTIF('В02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IF(COUNTIF('В02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IF(COUNTIF('В02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Вуличний банкомат (готівка)</t>
        </is>
      </c>
      <c r="C5" s="14" t="inlineStr">
        <is>
          <t>Злам банкомата з метою вилучення готівки</t>
        </is>
      </c>
      <c r="D5" s="14" t="inlineStr">
        <is>
          <t>камера є, освітлення добре</t>
        </is>
      </c>
      <c r="E5" s="14" t="n">
        <v>4</v>
      </c>
      <c r="F5" s="14" t="n">
        <v>4</v>
      </c>
      <c r="G5" s="14" t="inlineStr">
        <is>
          <t>другий запис, інші слова</t>
        </is>
      </c>
    </row>
    <row r="6">
      <c r="A6" s="14" t="n">
        <v>2</v>
      </c>
      <c r="B6" s="14" t="inlineStr">
        <is>
          <t>Вуличний банкомат (картки клієнтів)</t>
        </is>
      </c>
      <c r="C6" s="14" t="inlineStr">
        <is>
          <t>Встановлення скімера й масове копіювання карток</t>
        </is>
      </c>
      <c r="D6" s="14" t="inlineStr">
        <is>
          <t>камера є, освітлення добре</t>
        </is>
      </c>
      <c r="E6" s="14" t="n">
        <v>2</v>
      </c>
      <c r="F6" s="14" t="n">
        <v>3</v>
      </c>
      <c r="G6" s="14" t="inlineStr">
        <is>
          <t>оцінено за даними профілю</t>
        </is>
      </c>
    </row>
    <row r="7">
      <c r="A7" s="14" t="n">
        <v>3</v>
      </c>
      <c r="B7" s="14" t="n"/>
      <c r="C7" s="14" t="inlineStr">
        <is>
          <t>Фішинг</t>
        </is>
      </c>
      <c r="D7" s="14" t="n"/>
      <c r="E7" s="14" t="n">
        <v>4</v>
      </c>
      <c r="F7" s="14" t="n">
        <v>4</v>
      </c>
      <c r="G7" s="14" t="inlineStr">
        <is>
          <t>Дуже небезпечно, треба бачити</t>
        </is>
      </c>
    </row>
    <row r="8">
      <c r="A8" s="14" t="n">
        <v>4</v>
      </c>
      <c r="B8" s="14" t="inlineStr">
        <is>
          <t>Канал зв'язку з головним офісом</t>
        </is>
      </c>
      <c r="C8" s="14" t="inlineStr">
        <is>
          <t>Відмова каналу до головного офісу</t>
        </is>
      </c>
      <c r="D8" s="14" t="inlineStr">
        <is>
          <t>два канали</t>
        </is>
      </c>
      <c r="E8" s="14" t="n">
        <v>2</v>
      </c>
      <c r="F8" s="14" t="n">
        <v>3</v>
      </c>
      <c r="G8" s="14" t="inlineStr">
        <is>
          <t>оцінено за даними профілю</t>
        </is>
      </c>
    </row>
    <row r="9">
      <c r="A9" s="14" t="n">
        <v>5</v>
      </c>
      <c r="B9" s="14" t="inlineStr">
        <is>
          <t>Серверна</t>
        </is>
      </c>
      <c r="C9" s="14" t="inlineStr">
        <is>
          <t>Пожежа в серверній</t>
        </is>
      </c>
      <c r="D9" s="14" t="inlineStr">
        <is>
          <t>немає автоматичного пожежогасіння</t>
        </is>
      </c>
      <c r="E9" s="14" t="n">
        <v>5</v>
      </c>
      <c r="F9" s="14" t="n">
        <v>5</v>
      </c>
      <c r="G9" s="14" t="inlineStr">
        <is>
          <t>За останні сім років було лише один такий випадок у нашій мережі</t>
        </is>
      </c>
    </row>
    <row r="10">
      <c r="A10" s="14" t="n">
        <v>6</v>
      </c>
      <c r="B10" s="14" t="inlineStr">
        <is>
          <t>Вуличний банкомат (готівка)</t>
        </is>
      </c>
      <c r="C10" s="14" t="inlineStr">
        <is>
          <t>Крадіжка готівки з вуличного банкомата</t>
        </is>
      </c>
      <c r="D10" s="14" t="inlineStr">
        <is>
          <t>камера є, освітлення добре</t>
        </is>
      </c>
      <c r="E10" s="14" t="n">
        <v>4</v>
      </c>
      <c r="F10" s="14" t="n">
        <v>4</v>
      </c>
      <c r="G10" s="14" t="inlineStr">
        <is>
          <t>перший з двох записів про одне й те саме</t>
        </is>
      </c>
    </row>
    <row r="11">
      <c r="A11" s="14" t="n">
        <v>7</v>
      </c>
      <c r="B11" s="14" t="inlineStr">
        <is>
          <t>Серверна й обладнання відділення</t>
        </is>
      </c>
      <c r="C11" s="14" t="inlineStr">
        <is>
          <t>Зловживання правами недобросовісним співробітником</t>
        </is>
      </c>
      <c r="D11" s="14" t="inlineStr">
        <is>
          <t>права адміністратора в кількох працівників, журнали не переглядають</t>
        </is>
      </c>
      <c r="E11" s="14" t="n">
        <v>2</v>
      </c>
      <c r="F11" s="14" t="n">
        <v>4</v>
      </c>
      <c r="G11" s="14" t="inlineStr">
        <is>
          <t>оцінено за політикою доступу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IF(L5="",0,IFERROR(IF(ISNUMBER(SEARCH(E5,INDEX('В02 Каталог'!$D$5:$D$19,MATCH(L5,'В02 Каталог'!$B$5:$B$19,0)))),INDEX('В02 Каталог'!$E$5:$E$19,MATCH(L5,'В02 Каталог'!$B$5:$B$19,0)),0),0))</f>
        <v/>
      </c>
      <c r="N5" s="23">
        <f>IF(L5="",0,IFERROR(IF(ISNUMBER(SEARCH(E5,INDEX('В02 Каталог'!$D$5:$D$19,MATCH(L5,'В02 Каталог'!$B$5:$B$19,0)))),INDEX('В02 Каталог'!$F$5:$F$19,MATCH(L5,'В02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категорію",IF(AND(L5&lt;&gt;"",INDEX('В02 Каталог'!$H$5:$H$19,MATCH(L5,'В02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IF(L6="",0,IFERROR(IF(ISNUMBER(SEARCH(E6,INDEX('В02 Каталог'!$D$5:$D$19,MATCH(L6,'В02 Каталог'!$B$5:$B$19,0)))),INDEX('В02 Каталог'!$E$5:$E$19,MATCH(L6,'В02 Каталог'!$B$5:$B$19,0)),0),0))</f>
        <v/>
      </c>
      <c r="N6" s="23">
        <f>IF(L6="",0,IFERROR(IF(ISNUMBER(SEARCH(E6,INDEX('В02 Каталог'!$D$5:$D$19,MATCH(L6,'В02 Каталог'!$B$5:$B$19,0)))),INDEX('В02 Каталог'!$F$5:$F$19,MATCH(L6,'В02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категорію",IF(AND(L6&lt;&gt;"",INDEX('В02 Каталог'!$H$5:$H$19,MATCH(L6,'В02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IF(L7="",0,IFERROR(IF(ISNUMBER(SEARCH(E7,INDEX('В02 Каталог'!$D$5:$D$19,MATCH(L7,'В02 Каталог'!$B$5:$B$19,0)))),INDEX('В02 Каталог'!$E$5:$E$19,MATCH(L7,'В02 Каталог'!$B$5:$B$19,0)),0),0))</f>
        <v/>
      </c>
      <c r="N7" s="23">
        <f>IF(L7="",0,IFERROR(IF(ISNUMBER(SEARCH(E7,INDEX('В02 Каталог'!$D$5:$D$19,MATCH(L7,'В02 Каталог'!$B$5:$B$19,0)))),INDEX('В02 Каталог'!$F$5:$F$19,MATCH(L7,'В02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категорію",IF(AND(L7&lt;&gt;"",INDEX('В02 Каталог'!$H$5:$H$19,MATCH(L7,'В02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IF(L8="",0,IFERROR(IF(ISNUMBER(SEARCH(E8,INDEX('В02 Каталог'!$D$5:$D$19,MATCH(L8,'В02 Каталог'!$B$5:$B$19,0)))),INDEX('В02 Каталог'!$E$5:$E$19,MATCH(L8,'В02 Каталог'!$B$5:$B$19,0)),0),0))</f>
        <v/>
      </c>
      <c r="N8" s="23">
        <f>IF(L8="",0,IFERROR(IF(ISNUMBER(SEARCH(E8,INDEX('В02 Каталог'!$D$5:$D$19,MATCH(L8,'В02 Каталог'!$B$5:$B$19,0)))),INDEX('В02 Каталог'!$F$5:$F$19,MATCH(L8,'В02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категорію",IF(AND(L8&lt;&gt;"",INDEX('В02 Каталог'!$H$5:$H$19,MATCH(L8,'В02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IF(L9="",0,IFERROR(IF(ISNUMBER(SEARCH(E9,INDEX('В02 Каталог'!$D$5:$D$19,MATCH(L9,'В02 Каталог'!$B$5:$B$19,0)))),INDEX('В02 Каталог'!$E$5:$E$19,MATCH(L9,'В02 Каталог'!$B$5:$B$19,0)),0),0))</f>
        <v/>
      </c>
      <c r="N9" s="23">
        <f>IF(L9="",0,IFERROR(IF(ISNUMBER(SEARCH(E9,INDEX('В02 Каталог'!$D$5:$D$19,MATCH(L9,'В02 Каталог'!$B$5:$B$19,0)))),INDEX('В02 Каталог'!$F$5:$F$19,MATCH(L9,'В02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категорію",IF(AND(L9&lt;&gt;"",INDEX('В02 Каталог'!$H$5:$H$19,MATCH(L9,'В02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IF(L10="",0,IFERROR(IF(ISNUMBER(SEARCH(E10,INDEX('В02 Каталог'!$D$5:$D$19,MATCH(L10,'В02 Каталог'!$B$5:$B$19,0)))),INDEX('В02 Каталог'!$E$5:$E$19,MATCH(L10,'В02 Каталог'!$B$5:$B$19,0)),0),0))</f>
        <v/>
      </c>
      <c r="N10" s="23">
        <f>IF(L10="",0,IFERROR(IF(ISNUMBER(SEARCH(E10,INDEX('В02 Каталог'!$D$5:$D$19,MATCH(L10,'В02 Каталог'!$B$5:$B$19,0)))),INDEX('В02 Каталог'!$F$5:$F$19,MATCH(L10,'В02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категорію",IF(AND(L10&lt;&gt;"",INDEX('В02 Каталог'!$H$5:$H$19,MATCH(L10,'В02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IF(L11="",0,IFERROR(IF(ISNUMBER(SEARCH(E11,INDEX('В02 Каталог'!$D$5:$D$19,MATCH(L11,'В02 Каталог'!$B$5:$B$19,0)))),INDEX('В02 Каталог'!$E$5:$E$19,MATCH(L11,'В02 Каталог'!$B$5:$B$19,0)),0),0))</f>
        <v/>
      </c>
      <c r="N11" s="23">
        <f>IF(L11="",0,IFERROR(IF(ISNUMBER(SEARCH(E11,INDEX('В02 Каталог'!$D$5:$D$19,MATCH(L11,'В02 Каталог'!$B$5:$B$19,0)))),INDEX('В02 Каталог'!$F$5:$F$19,MATCH(L11,'В02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категорію",IF(AND(L11&lt;&gt;"",INDEX('В02 Каталог'!$H$5:$H$19,MATCH(L11,'В02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IF(L12="",0,IFERROR(IF(ISNUMBER(SEARCH(E12,INDEX('В02 Каталог'!$D$5:$D$19,MATCH(L12,'В02 Каталог'!$B$5:$B$19,0)))),INDEX('В02 Каталог'!$E$5:$E$19,MATCH(L12,'В02 Каталог'!$B$5:$B$19,0)),0),0))</f>
        <v/>
      </c>
      <c r="N12" s="23">
        <f>IF(L12="",0,IFERROR(IF(ISNUMBER(SEARCH(E12,INDEX('В02 Каталог'!$D$5:$D$19,MATCH(L12,'В02 Каталог'!$B$5:$B$19,0)))),INDEX('В02 Каталог'!$F$5:$F$19,MATCH(L12,'В02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категорію",IF(AND(L12&lt;&gt;"",INDEX('В02 Каталог'!$H$5:$H$19,MATCH(L12,'В02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IF(L13="",0,IFERROR(IF(ISNUMBER(SEARCH(E13,INDEX('В02 Каталог'!$D$5:$D$19,MATCH(L13,'В02 Каталог'!$B$5:$B$19,0)))),INDEX('В02 Каталог'!$E$5:$E$19,MATCH(L13,'В02 Каталог'!$B$5:$B$19,0)),0),0))</f>
        <v/>
      </c>
      <c r="N13" s="23">
        <f>IF(L13="",0,IFERROR(IF(ISNUMBER(SEARCH(E13,INDEX('В02 Каталог'!$D$5:$D$19,MATCH(L13,'В02 Каталог'!$B$5:$B$19,0)))),INDEX('В02 Каталог'!$F$5:$F$19,MATCH(L13,'В02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категорію",IF(AND(L13&lt;&gt;"",INDEX('В02 Каталог'!$H$5:$H$19,MATCH(L13,'В02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IF(L14="",0,IFERROR(IF(ISNUMBER(SEARCH(E14,INDEX('В02 Каталог'!$D$5:$D$19,MATCH(L14,'В02 Каталог'!$B$5:$B$19,0)))),INDEX('В02 Каталог'!$E$5:$E$19,MATCH(L14,'В02 Каталог'!$B$5:$B$19,0)),0),0))</f>
        <v/>
      </c>
      <c r="N14" s="23">
        <f>IF(L14="",0,IFERROR(IF(ISNUMBER(SEARCH(E14,INDEX('В02 Каталог'!$D$5:$D$19,MATCH(L14,'В02 Каталог'!$B$5:$B$19,0)))),INDEX('В02 Каталог'!$F$5:$F$19,MATCH(L14,'В02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категорію",IF(AND(L14&lt;&gt;"",INDEX('В02 Каталог'!$H$5:$H$19,MATCH(L14,'В02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IF(L15="",0,IFERROR(IF(ISNUMBER(SEARCH(E15,INDEX('В02 Каталог'!$D$5:$D$19,MATCH(L15,'В02 Каталог'!$B$5:$B$19,0)))),INDEX('В02 Каталог'!$E$5:$E$19,MATCH(L15,'В02 Каталог'!$B$5:$B$19,0)),0),0))</f>
        <v/>
      </c>
      <c r="N15" s="23">
        <f>IF(L15="",0,IFERROR(IF(ISNUMBER(SEARCH(E15,INDEX('В02 Каталог'!$D$5:$D$19,MATCH(L15,'В02 Каталог'!$B$5:$B$19,0)))),INDEX('В02 Каталог'!$F$5:$F$19,MATCH(L15,'В02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категорію",IF(AND(L15&lt;&gt;"",INDEX('В02 Каталог'!$H$5:$H$19,MATCH(L15,'В02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IF(L16="",0,IFERROR(IF(ISNUMBER(SEARCH(E16,INDEX('В02 Каталог'!$D$5:$D$19,MATCH(L16,'В02 Каталог'!$B$5:$B$19,0)))),INDEX('В02 Каталог'!$E$5:$E$19,MATCH(L16,'В02 Каталог'!$B$5:$B$19,0)),0),0))</f>
        <v/>
      </c>
      <c r="N16" s="23">
        <f>IF(L16="",0,IFERROR(IF(ISNUMBER(SEARCH(E16,INDEX('В02 Каталог'!$D$5:$D$19,MATCH(L16,'В02 Каталог'!$B$5:$B$19,0)))),INDEX('В02 Каталог'!$F$5:$F$19,MATCH(L16,'В02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категорію",IF(AND(L16&lt;&gt;"",INDEX('В02 Каталог'!$H$5:$H$19,MATCH(L16,'В02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IF(L17="",0,IFERROR(IF(ISNUMBER(SEARCH(E17,INDEX('В02 Каталог'!$D$5:$D$19,MATCH(L17,'В02 Каталог'!$B$5:$B$19,0)))),INDEX('В02 Каталог'!$E$5:$E$19,MATCH(L17,'В02 Каталог'!$B$5:$B$19,0)),0),0))</f>
        <v/>
      </c>
      <c r="N17" s="23">
        <f>IF(L17="",0,IFERROR(IF(ISNUMBER(SEARCH(E17,INDEX('В02 Каталог'!$D$5:$D$19,MATCH(L17,'В02 Каталог'!$B$5:$B$19,0)))),INDEX('В02 Каталог'!$F$5:$F$19,MATCH(L17,'В02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категорію",IF(AND(L17&lt;&gt;"",INDEX('В02 Каталог'!$H$5:$H$19,MATCH(L17,'В02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IF(L18="",0,IFERROR(IF(ISNUMBER(SEARCH(E18,INDEX('В02 Каталог'!$D$5:$D$19,MATCH(L18,'В02 Каталог'!$B$5:$B$19,0)))),INDEX('В02 Каталог'!$E$5:$E$19,MATCH(L18,'В02 Каталог'!$B$5:$B$19,0)),0),0))</f>
        <v/>
      </c>
      <c r="N18" s="23">
        <f>IF(L18="",0,IFERROR(IF(ISNUMBER(SEARCH(E18,INDEX('В02 Каталог'!$D$5:$D$19,MATCH(L18,'В02 Каталог'!$B$5:$B$19,0)))),INDEX('В02 Каталог'!$F$5:$F$19,MATCH(L18,'В02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категорію",IF(AND(L18&lt;&gt;"",INDEX('В02 Каталог'!$H$5:$H$19,MATCH(L18,'В02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IF(L19="",0,IFERROR(IF(ISNUMBER(SEARCH(E19,INDEX('В02 Каталог'!$D$5:$D$19,MATCH(L19,'В02 Каталог'!$B$5:$B$19,0)))),INDEX('В02 Каталог'!$E$5:$E$19,MATCH(L19,'В02 Каталог'!$B$5:$B$19,0)),0),0))</f>
        <v/>
      </c>
      <c r="N19" s="23">
        <f>IF(L19="",0,IFERROR(IF(ISNUMBER(SEARCH(E19,INDEX('В02 Каталог'!$D$5:$D$19,MATCH(L19,'В02 Каталог'!$B$5:$B$19,0)))),INDEX('В02 Каталог'!$F$5:$F$19,MATCH(L19,'В02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категорію",IF(AND(L19&lt;&gt;"",INDEX('В02 Каталог'!$H$5:$H$19,MATCH(L19,'В02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IF(L20="",0,IFERROR(IF(ISNUMBER(SEARCH(E20,INDEX('В02 Каталог'!$D$5:$D$19,MATCH(L20,'В02 Каталог'!$B$5:$B$19,0)))),INDEX('В02 Каталог'!$E$5:$E$19,MATCH(L20,'В02 Каталог'!$B$5:$B$19,0)),0),0))</f>
        <v/>
      </c>
      <c r="N20" s="23">
        <f>IF(L20="",0,IFERROR(IF(ISNUMBER(SEARCH(E20,INDEX('В02 Каталог'!$D$5:$D$19,MATCH(L20,'В02 Каталог'!$B$5:$B$19,0)))),INDEX('В02 Каталог'!$F$5:$F$19,MATCH(L20,'В02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категорію",IF(AND(L20&lt;&gt;"",INDEX('В02 Каталог'!$H$5:$H$19,MATCH(L20,'В02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IF(L21="",0,IFERROR(IF(ISNUMBER(SEARCH(E21,INDEX('В02 Каталог'!$D$5:$D$19,MATCH(L21,'В02 Каталог'!$B$5:$B$19,0)))),INDEX('В02 Каталог'!$E$5:$E$19,MATCH(L21,'В02 Каталог'!$B$5:$B$19,0)),0),0))</f>
        <v/>
      </c>
      <c r="N21" s="23">
        <f>IF(L21="",0,IFERROR(IF(ISNUMBER(SEARCH(E21,INDEX('В02 Каталог'!$D$5:$D$19,MATCH(L21,'В02 Каталог'!$B$5:$B$19,0)))),INDEX('В02 Каталог'!$F$5:$F$19,MATCH(L21,'В02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категорію",IF(AND(L21&lt;&gt;"",INDEX('В02 Каталог'!$H$5:$H$19,MATCH(L21,'В02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IF(L22="",0,IFERROR(IF(ISNUMBER(SEARCH(E22,INDEX('В02 Каталог'!$D$5:$D$19,MATCH(L22,'В02 Каталог'!$B$5:$B$19,0)))),INDEX('В02 Каталог'!$E$5:$E$19,MATCH(L22,'В02 Каталог'!$B$5:$B$19,0)),0),0))</f>
        <v/>
      </c>
      <c r="N22" s="23">
        <f>IF(L22="",0,IFERROR(IF(ISNUMBER(SEARCH(E22,INDEX('В02 Каталог'!$D$5:$D$19,MATCH(L22,'В02 Каталог'!$B$5:$B$19,0)))),INDEX('В02 Каталог'!$F$5:$F$19,MATCH(L22,'В02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категорію",IF(AND(L22&lt;&gt;"",INDEX('В02 Каталог'!$H$5:$H$19,MATCH(L22,'В02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IF(L23="",0,IFERROR(IF(ISNUMBER(SEARCH(E23,INDEX('В02 Каталог'!$D$5:$D$19,MATCH(L23,'В02 Каталог'!$B$5:$B$19,0)))),INDEX('В02 Каталог'!$E$5:$E$19,MATCH(L23,'В02 Каталог'!$B$5:$B$19,0)),0),0))</f>
        <v/>
      </c>
      <c r="N23" s="23">
        <f>IF(L23="",0,IFERROR(IF(ISNUMBER(SEARCH(E23,INDEX('В02 Каталог'!$D$5:$D$19,MATCH(L23,'В02 Каталог'!$B$5:$B$19,0)))),INDEX('В02 Каталог'!$F$5:$F$19,MATCH(L23,'В02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категорію",IF(AND(L23&lt;&gt;"",INDEX('В02 Каталог'!$H$5:$H$19,MATCH(L23,'В02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IF(L24="",0,IFERROR(IF(ISNUMBER(SEARCH(E24,INDEX('В02 Каталог'!$D$5:$D$19,MATCH(L24,'В02 Каталог'!$B$5:$B$19,0)))),INDEX('В02 Каталог'!$E$5:$E$19,MATCH(L24,'В02 Каталог'!$B$5:$B$19,0)),0),0))</f>
        <v/>
      </c>
      <c r="N24" s="23">
        <f>IF(L24="",0,IFERROR(IF(ISNUMBER(SEARCH(E24,INDEX('В02 Каталог'!$D$5:$D$19,MATCH(L24,'В02 Каталог'!$B$5:$B$19,0)))),INDEX('В02 Каталог'!$F$5:$F$19,MATCH(L24,'В02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категорію",IF(AND(L24&lt;&gt;"",INDEX('В02 Каталог'!$H$5:$H$19,MATCH(L24,'В02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='В02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='В02 Каталог'!$B$5:$B$19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75B6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COUNTIFS('В02 Ризики'!$F$5:$F$24,1,'В02 Ризики'!$G$5:$G$24,5)</f>
        <v/>
      </c>
      <c r="C6" s="26">
        <f>COUNTIFS('В02 Ризики'!$F$5:$F$24,2,'В02 Ризики'!$G$5:$G$24,5)</f>
        <v/>
      </c>
      <c r="D6" s="26">
        <f>COUNTIFS('В02 Ризики'!$F$5:$F$24,3,'В02 Ризики'!$G$5:$G$24,5)</f>
        <v/>
      </c>
      <c r="E6" s="27">
        <f>COUNTIFS('В02 Ризики'!$F$5:$F$24,4,'В02 Ризики'!$G$5:$G$24,5)</f>
        <v/>
      </c>
      <c r="F6" s="27">
        <f>COUNTIFS('В02 Ризики'!$F$5:$F$24,5,'В02 Ризики'!$G$5:$G$24,5)</f>
        <v/>
      </c>
      <c r="I6" s="24" t="inlineStr">
        <is>
          <t>C = 5</t>
        </is>
      </c>
      <c r="J6" s="25">
        <f>COUNTIFS('В02 Ризики'!$O$5:$O$24,1,'В02 Ризики'!$P$5:$P$24,5)</f>
        <v/>
      </c>
      <c r="K6" s="26">
        <f>COUNTIFS('В02 Ризики'!$O$5:$O$24,2,'В02 Ризики'!$P$5:$P$24,5)</f>
        <v/>
      </c>
      <c r="L6" s="26">
        <f>COUNTIFS('В02 Ризики'!$O$5:$O$24,3,'В02 Ризики'!$P$5:$P$24,5)</f>
        <v/>
      </c>
      <c r="M6" s="27">
        <f>COUNTIFS('В02 Ризики'!$O$5:$O$24,4,'В02 Ризики'!$P$5:$P$24,5)</f>
        <v/>
      </c>
      <c r="N6" s="27">
        <f>COUNTIFS('В02 Ризики'!$O$5:$O$24,5,'В02 Ризики'!$P$5:$P$24,5)</f>
        <v/>
      </c>
    </row>
    <row r="7" ht="34" customHeight="1">
      <c r="A7" s="24" t="inlineStr">
        <is>
          <t>C = 4</t>
        </is>
      </c>
      <c r="B7" s="28">
        <f>COUNTIFS('В02 Ризики'!$F$5:$F$24,1,'В02 Ризики'!$G$5:$G$24,4)</f>
        <v/>
      </c>
      <c r="C7" s="25">
        <f>COUNTIFS('В02 Ризики'!$F$5:$F$24,2,'В02 Ризики'!$G$5:$G$24,4)</f>
        <v/>
      </c>
      <c r="D7" s="26">
        <f>COUNTIFS('В02 Ризики'!$F$5:$F$24,3,'В02 Ризики'!$G$5:$G$24,4)</f>
        <v/>
      </c>
      <c r="E7" s="26">
        <f>COUNTIFS('В02 Ризики'!$F$5:$F$24,4,'В02 Ризики'!$G$5:$G$24,4)</f>
        <v/>
      </c>
      <c r="F7" s="27">
        <f>COUNTIFS('В02 Ризики'!$F$5:$F$24,5,'В02 Ризики'!$G$5:$G$24,4)</f>
        <v/>
      </c>
      <c r="I7" s="24" t="inlineStr">
        <is>
          <t>C = 4</t>
        </is>
      </c>
      <c r="J7" s="28">
        <f>COUNTIFS('В02 Ризики'!$O$5:$O$24,1,'В02 Ризики'!$P$5:$P$24,4)</f>
        <v/>
      </c>
      <c r="K7" s="25">
        <f>COUNTIFS('В02 Ризики'!$O$5:$O$24,2,'В02 Ризики'!$P$5:$P$24,4)</f>
        <v/>
      </c>
      <c r="L7" s="26">
        <f>COUNTIFS('В02 Ризики'!$O$5:$O$24,3,'В02 Ризики'!$P$5:$P$24,4)</f>
        <v/>
      </c>
      <c r="M7" s="26">
        <f>COUNTIFS('В02 Ризики'!$O$5:$O$24,4,'В02 Ризики'!$P$5:$P$24,4)</f>
        <v/>
      </c>
      <c r="N7" s="27">
        <f>COUNTIFS('В02 Ризики'!$O$5:$O$24,5,'В02 Ризики'!$P$5:$P$24,4)</f>
        <v/>
      </c>
    </row>
    <row r="8" ht="34" customHeight="1">
      <c r="A8" s="24" t="inlineStr">
        <is>
          <t>C = 3</t>
        </is>
      </c>
      <c r="B8" s="28">
        <f>COUNTIFS('В02 Ризики'!$F$5:$F$24,1,'В02 Ризики'!$G$5:$G$24,3)</f>
        <v/>
      </c>
      <c r="C8" s="25">
        <f>COUNTIFS('В02 Ризики'!$F$5:$F$24,2,'В02 Ризики'!$G$5:$G$24,3)</f>
        <v/>
      </c>
      <c r="D8" s="25">
        <f>COUNTIFS('В02 Ризики'!$F$5:$F$24,3,'В02 Ризики'!$G$5:$G$24,3)</f>
        <v/>
      </c>
      <c r="E8" s="26">
        <f>COUNTIFS('В02 Ризики'!$F$5:$F$24,4,'В02 Ризики'!$G$5:$G$24,3)</f>
        <v/>
      </c>
      <c r="F8" s="26">
        <f>COUNTIFS('В02 Ризики'!$F$5:$F$24,5,'В02 Ризики'!$G$5:$G$24,3)</f>
        <v/>
      </c>
      <c r="I8" s="24" t="inlineStr">
        <is>
          <t>C = 3</t>
        </is>
      </c>
      <c r="J8" s="28">
        <f>COUNTIFS('В02 Ризики'!$O$5:$O$24,1,'В02 Ризики'!$P$5:$P$24,3)</f>
        <v/>
      </c>
      <c r="K8" s="25">
        <f>COUNTIFS('В02 Ризики'!$O$5:$O$24,2,'В02 Ризики'!$P$5:$P$24,3)</f>
        <v/>
      </c>
      <c r="L8" s="25">
        <f>COUNTIFS('В02 Ризики'!$O$5:$O$24,3,'В02 Ризики'!$P$5:$P$24,3)</f>
        <v/>
      </c>
      <c r="M8" s="26">
        <f>COUNTIFS('В02 Ризики'!$O$5:$O$24,4,'В02 Ризики'!$P$5:$P$24,3)</f>
        <v/>
      </c>
      <c r="N8" s="26">
        <f>COUNTIFS('В02 Ризики'!$O$5:$O$24,5,'В02 Ризики'!$P$5:$P$24,3)</f>
        <v/>
      </c>
    </row>
    <row r="9" ht="34" customHeight="1">
      <c r="A9" s="24" t="inlineStr">
        <is>
          <t>C = 2</t>
        </is>
      </c>
      <c r="B9" s="28">
        <f>COUNTIFS('В02 Ризики'!$F$5:$F$24,1,'В02 Ризики'!$G$5:$G$24,2)</f>
        <v/>
      </c>
      <c r="C9" s="28">
        <f>COUNTIFS('В02 Ризики'!$F$5:$F$24,2,'В02 Ризики'!$G$5:$G$24,2)</f>
        <v/>
      </c>
      <c r="D9" s="25">
        <f>COUNTIFS('В02 Ризики'!$F$5:$F$24,3,'В02 Ризики'!$G$5:$G$24,2)</f>
        <v/>
      </c>
      <c r="E9" s="25">
        <f>COUNTIFS('В02 Ризики'!$F$5:$F$24,4,'В02 Ризики'!$G$5:$G$24,2)</f>
        <v/>
      </c>
      <c r="F9" s="26">
        <f>COUNTIFS('В02 Ризики'!$F$5:$F$24,5,'В02 Ризики'!$G$5:$G$24,2)</f>
        <v/>
      </c>
      <c r="I9" s="24" t="inlineStr">
        <is>
          <t>C = 2</t>
        </is>
      </c>
      <c r="J9" s="28">
        <f>COUNTIFS('В02 Ризики'!$O$5:$O$24,1,'В02 Ризики'!$P$5:$P$24,2)</f>
        <v/>
      </c>
      <c r="K9" s="28">
        <f>COUNTIFS('В02 Ризики'!$O$5:$O$24,2,'В02 Ризики'!$P$5:$P$24,2)</f>
        <v/>
      </c>
      <c r="L9" s="25">
        <f>COUNTIFS('В02 Ризики'!$O$5:$O$24,3,'В02 Ризики'!$P$5:$P$24,2)</f>
        <v/>
      </c>
      <c r="M9" s="25">
        <f>COUNTIFS('В02 Ризики'!$O$5:$O$24,4,'В02 Ризики'!$P$5:$P$24,2)</f>
        <v/>
      </c>
      <c r="N9" s="26">
        <f>COUNTIFS('В02 Ризики'!$O$5:$O$24,5,'В02 Ризики'!$P$5:$P$24,2)</f>
        <v/>
      </c>
    </row>
    <row r="10" ht="34" customHeight="1">
      <c r="A10" s="24" t="inlineStr">
        <is>
          <t>C = 1</t>
        </is>
      </c>
      <c r="B10" s="28">
        <f>COUNTIFS('В02 Ризики'!$F$5:$F$24,1,'В02 Ризики'!$G$5:$G$24,1)</f>
        <v/>
      </c>
      <c r="C10" s="28">
        <f>COUNTIFS('В02 Ризики'!$F$5:$F$24,2,'В02 Ризики'!$G$5:$G$24,1)</f>
        <v/>
      </c>
      <c r="D10" s="28">
        <f>COUNTIFS('В02 Ризики'!$F$5:$F$24,3,'В02 Ризики'!$G$5:$G$24,1)</f>
        <v/>
      </c>
      <c r="E10" s="28">
        <f>COUNTIFS('В02 Ризики'!$F$5:$F$24,4,'В02 Ризики'!$G$5:$G$24,1)</f>
        <v/>
      </c>
      <c r="F10" s="25">
        <f>COUNTIFS('В02 Ризики'!$F$5:$F$24,5,'В02 Ризики'!$G$5:$G$24,1)</f>
        <v/>
      </c>
      <c r="I10" s="24" t="inlineStr">
        <is>
          <t>C = 1</t>
        </is>
      </c>
      <c r="J10" s="28">
        <f>COUNTIFS('В02 Ризики'!$O$5:$O$24,1,'В02 Ризики'!$P$5:$P$24,1)</f>
        <v/>
      </c>
      <c r="K10" s="28">
        <f>COUNTIFS('В02 Ризики'!$O$5:$O$24,2,'В02 Ризики'!$P$5:$P$24,1)</f>
        <v/>
      </c>
      <c r="L10" s="28">
        <f>COUNTIFS('В02 Ризики'!$O$5:$O$24,3,'В02 Ризики'!$P$5:$P$24,1)</f>
        <v/>
      </c>
      <c r="M10" s="28">
        <f>COUNTIFS('В02 Ризики'!$O$5:$O$24,4,'В02 Ризики'!$P$5:$P$24,1)</f>
        <v/>
      </c>
      <c r="N10" s="25">
        <f>COUNTIFS('В02 Ризики'!$O$5:$O$24,5,'В02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E75B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SUM('В02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SUM('В02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SUM('В02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COUNTIF('В02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SUMPRODUCT(('В02 Ризики'!J5:J24="Так")*('В02 Ризики'!R5:R24&lt;&gt;"ОК"))</f>
        <v/>
      </c>
    </row>
    <row r="13">
      <c r="A13" s="31" t="inlineStr">
        <is>
          <t>Ризики у реєстрі</t>
        </is>
      </c>
      <c r="B13" s="33">
        <f>COUNTA('В02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55A11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03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55A11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03</t>
        </is>
      </c>
    </row>
    <row r="2"/>
    <row r="3">
      <c r="A3" s="10" t="inlineStr">
        <is>
          <t>Номер варіанта</t>
        </is>
      </c>
      <c r="B3" s="11" t="inlineStr">
        <is>
          <t>03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погане</t>
        </is>
      </c>
    </row>
    <row r="9">
      <c r="A9" s="10" t="inlineStr">
        <is>
          <t>Вуличний банкомат: камера</t>
        </is>
      </c>
      <c r="B9" s="11" t="inlineStr">
        <is>
          <t>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480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180</t>
        </is>
      </c>
    </row>
    <row r="12">
      <c r="A12" s="10" t="inlineStr">
        <is>
          <t>Резервне живлення</t>
        </is>
      </c>
      <c r="B12" s="11" t="inlineStr">
        <is>
          <t>без резерву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6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один провайдер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1</t>
        </is>
      </c>
    </row>
    <row r="16">
      <c r="A16" s="10" t="inlineStr">
        <is>
          <t>Особливий актив відділення</t>
        </is>
      </c>
      <c r="B16" s="11" t="inlineStr">
        <is>
          <t>Гостьова Wi-Fi з порталом входу, підключена до того самого комутатора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55A11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IF(COUNTIF('В03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IF(COUNTIF('В03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IF(COUNTIF('В03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IF(COUNTIF('В03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IF(COUNTIF('В03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IF(COUNTIF('В03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IF(COUNTIF('В03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IF(COUNTIF('В03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IF(COUNTIF('В03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IF(COUNTIF('В03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IF(COUNTIF('В03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IF(COUNTIF('В03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IF(COUNTIF('В03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IF(COUNTIF('В03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IF(COUNTIF('В03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55A1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55A11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Канал зв'язку з головним офісом</t>
        </is>
      </c>
      <c r="C5" s="14" t="inlineStr">
        <is>
          <t>Відмова каналу до головного офісу</t>
        </is>
      </c>
      <c r="D5" s="14" t="inlineStr">
        <is>
          <t>один провайдер</t>
        </is>
      </c>
      <c r="E5" s="14" t="n">
        <v>3</v>
      </c>
      <c r="F5" s="14" t="n">
        <v>4</v>
      </c>
      <c r="G5" s="14" t="inlineStr">
        <is>
          <t>оцінено за даними профілю</t>
        </is>
      </c>
    </row>
    <row r="6">
      <c r="A6" s="14" t="n">
        <v>2</v>
      </c>
      <c r="B6" s="14" t="inlineStr">
        <is>
          <t>Серверна</t>
        </is>
      </c>
      <c r="C6" s="14" t="inlineStr">
        <is>
          <t>Пожежа в серверній</t>
        </is>
      </c>
      <c r="D6" s="14" t="inlineStr">
        <is>
          <t>немає автоматичного пожежогасіння</t>
        </is>
      </c>
      <c r="E6" s="14" t="n">
        <v>5</v>
      </c>
      <c r="F6" s="14" t="n">
        <v>5</v>
      </c>
      <c r="G6" s="14" t="inlineStr">
        <is>
          <t>За останні сім років було лише один такий випадок у нашій мережі</t>
        </is>
      </c>
    </row>
    <row r="7">
      <c r="A7" s="14" t="n">
        <v>3</v>
      </c>
      <c r="B7" s="14" t="inlineStr">
        <is>
          <t>Вуличний банкомат (готівка)</t>
        </is>
      </c>
      <c r="C7" s="14" t="inlineStr">
        <is>
          <t>Крадіжка готівки з вуличного банкомата</t>
        </is>
      </c>
      <c r="D7" s="14" t="inlineStr">
        <is>
          <t>камера є, освітлення погане</t>
        </is>
      </c>
      <c r="E7" s="14" t="n">
        <v>4</v>
      </c>
      <c r="F7" s="14" t="n">
        <v>4</v>
      </c>
      <c r="G7" s="14" t="inlineStr">
        <is>
          <t>перший з двох записів про одне й те саме</t>
        </is>
      </c>
    </row>
    <row r="8">
      <c r="A8" s="14" t="n">
        <v>4</v>
      </c>
      <c r="B8" s="14" t="inlineStr">
        <is>
          <t>Серверна й обладнання відділення</t>
        </is>
      </c>
      <c r="C8" s="14" t="inlineStr">
        <is>
          <t>Зловживання правами недобросовісним співробітником</t>
        </is>
      </c>
      <c r="D8" s="14" t="inlineStr">
        <is>
          <t>права адміністратора в кількох працівників, журнали не переглядають</t>
        </is>
      </c>
      <c r="E8" s="14" t="n">
        <v>2</v>
      </c>
      <c r="F8" s="14" t="n">
        <v>4</v>
      </c>
      <c r="G8" s="14" t="inlineStr">
        <is>
          <t>оцінено за політикою доступу</t>
        </is>
      </c>
    </row>
    <row r="9">
      <c r="A9" s="14" t="n">
        <v>5</v>
      </c>
      <c r="B9" s="14" t="inlineStr">
        <is>
          <t>Вуличний банкомат (готівка)</t>
        </is>
      </c>
      <c r="C9" s="14" t="inlineStr">
        <is>
          <t>Злам банкомата з метою вилучення готівки</t>
        </is>
      </c>
      <c r="D9" s="14" t="inlineStr">
        <is>
          <t>камера є, освітлення погане</t>
        </is>
      </c>
      <c r="E9" s="14" t="n">
        <v>4</v>
      </c>
      <c r="F9" s="14" t="n">
        <v>4</v>
      </c>
      <c r="G9" s="14" t="inlineStr">
        <is>
          <t>другий запис, інші слова</t>
        </is>
      </c>
    </row>
    <row r="10">
      <c r="A10" s="14" t="n">
        <v>6</v>
      </c>
      <c r="B10" s="14" t="inlineStr">
        <is>
          <t>Вуличний банкомат (картки клієнтів)</t>
        </is>
      </c>
      <c r="C10" s="14" t="inlineStr">
        <is>
          <t>Встановлення скімера й масове копіювання карток</t>
        </is>
      </c>
      <c r="D10" s="14" t="inlineStr">
        <is>
          <t>камера є, освітлення погане</t>
        </is>
      </c>
      <c r="E10" s="14" t="n">
        <v>3</v>
      </c>
      <c r="F10" s="14" t="n">
        <v>4</v>
      </c>
      <c r="G10" s="14" t="inlineStr">
        <is>
          <t>оцінено за даними профілю</t>
        </is>
      </c>
    </row>
    <row r="11">
      <c r="A11" s="14" t="n">
        <v>7</v>
      </c>
      <c r="B11" s="14" t="n"/>
      <c r="C11" s="14" t="inlineStr">
        <is>
          <t>Фішинг</t>
        </is>
      </c>
      <c r="D11" s="14" t="n"/>
      <c r="E11" s="14" t="n">
        <v>4</v>
      </c>
      <c r="F11" s="14" t="n">
        <v>4</v>
      </c>
      <c r="G11" s="14" t="inlineStr">
        <is>
          <t>Дуже небезпечно, треба бачити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C55A11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IF(L5="",0,IFERROR(IF(ISNUMBER(SEARCH(E5,INDEX('В03 Каталог'!$D$5:$D$19,MATCH(L5,'В03 Каталог'!$B$5:$B$19,0)))),INDEX('В03 Каталог'!$E$5:$E$19,MATCH(L5,'В03 Каталог'!$B$5:$B$19,0)),0),0))</f>
        <v/>
      </c>
      <c r="N5" s="23">
        <f>IF(L5="",0,IFERROR(IF(ISNUMBER(SEARCH(E5,INDEX('В03 Каталог'!$D$5:$D$19,MATCH(L5,'В03 Каталог'!$B$5:$B$19,0)))),INDEX('В03 Каталог'!$F$5:$F$19,MATCH(L5,'В03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категорію",IF(AND(L5&lt;&gt;"",INDEX('В03 Каталог'!$H$5:$H$19,MATCH(L5,'В03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IF(L6="",0,IFERROR(IF(ISNUMBER(SEARCH(E6,INDEX('В03 Каталог'!$D$5:$D$19,MATCH(L6,'В03 Каталог'!$B$5:$B$19,0)))),INDEX('В03 Каталог'!$E$5:$E$19,MATCH(L6,'В03 Каталог'!$B$5:$B$19,0)),0),0))</f>
        <v/>
      </c>
      <c r="N6" s="23">
        <f>IF(L6="",0,IFERROR(IF(ISNUMBER(SEARCH(E6,INDEX('В03 Каталог'!$D$5:$D$19,MATCH(L6,'В03 Каталог'!$B$5:$B$19,0)))),INDEX('В03 Каталог'!$F$5:$F$19,MATCH(L6,'В03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категорію",IF(AND(L6&lt;&gt;"",INDEX('В03 Каталог'!$H$5:$H$19,MATCH(L6,'В03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IF(L7="",0,IFERROR(IF(ISNUMBER(SEARCH(E7,INDEX('В03 Каталог'!$D$5:$D$19,MATCH(L7,'В03 Каталог'!$B$5:$B$19,0)))),INDEX('В03 Каталог'!$E$5:$E$19,MATCH(L7,'В03 Каталог'!$B$5:$B$19,0)),0),0))</f>
        <v/>
      </c>
      <c r="N7" s="23">
        <f>IF(L7="",0,IFERROR(IF(ISNUMBER(SEARCH(E7,INDEX('В03 Каталог'!$D$5:$D$19,MATCH(L7,'В03 Каталог'!$B$5:$B$19,0)))),INDEX('В03 Каталог'!$F$5:$F$19,MATCH(L7,'В03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категорію",IF(AND(L7&lt;&gt;"",INDEX('В03 Каталог'!$H$5:$H$19,MATCH(L7,'В03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IF(L8="",0,IFERROR(IF(ISNUMBER(SEARCH(E8,INDEX('В03 Каталог'!$D$5:$D$19,MATCH(L8,'В03 Каталог'!$B$5:$B$19,0)))),INDEX('В03 Каталог'!$E$5:$E$19,MATCH(L8,'В03 Каталог'!$B$5:$B$19,0)),0),0))</f>
        <v/>
      </c>
      <c r="N8" s="23">
        <f>IF(L8="",0,IFERROR(IF(ISNUMBER(SEARCH(E8,INDEX('В03 Каталог'!$D$5:$D$19,MATCH(L8,'В03 Каталог'!$B$5:$B$19,0)))),INDEX('В03 Каталог'!$F$5:$F$19,MATCH(L8,'В03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категорію",IF(AND(L8&lt;&gt;"",INDEX('В03 Каталог'!$H$5:$H$19,MATCH(L8,'В03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IF(L9="",0,IFERROR(IF(ISNUMBER(SEARCH(E9,INDEX('В03 Каталог'!$D$5:$D$19,MATCH(L9,'В03 Каталог'!$B$5:$B$19,0)))),INDEX('В03 Каталог'!$E$5:$E$19,MATCH(L9,'В03 Каталог'!$B$5:$B$19,0)),0),0))</f>
        <v/>
      </c>
      <c r="N9" s="23">
        <f>IF(L9="",0,IFERROR(IF(ISNUMBER(SEARCH(E9,INDEX('В03 Каталог'!$D$5:$D$19,MATCH(L9,'В03 Каталог'!$B$5:$B$19,0)))),INDEX('В03 Каталог'!$F$5:$F$19,MATCH(L9,'В03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категорію",IF(AND(L9&lt;&gt;"",INDEX('В03 Каталог'!$H$5:$H$19,MATCH(L9,'В03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IF(L10="",0,IFERROR(IF(ISNUMBER(SEARCH(E10,INDEX('В03 Каталог'!$D$5:$D$19,MATCH(L10,'В03 Каталог'!$B$5:$B$19,0)))),INDEX('В03 Каталог'!$E$5:$E$19,MATCH(L10,'В03 Каталог'!$B$5:$B$19,0)),0),0))</f>
        <v/>
      </c>
      <c r="N10" s="23">
        <f>IF(L10="",0,IFERROR(IF(ISNUMBER(SEARCH(E10,INDEX('В03 Каталог'!$D$5:$D$19,MATCH(L10,'В03 Каталог'!$B$5:$B$19,0)))),INDEX('В03 Каталог'!$F$5:$F$19,MATCH(L10,'В03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категорію",IF(AND(L10&lt;&gt;"",INDEX('В03 Каталог'!$H$5:$H$19,MATCH(L10,'В03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IF(L11="",0,IFERROR(IF(ISNUMBER(SEARCH(E11,INDEX('В03 Каталог'!$D$5:$D$19,MATCH(L11,'В03 Каталог'!$B$5:$B$19,0)))),INDEX('В03 Каталог'!$E$5:$E$19,MATCH(L11,'В03 Каталог'!$B$5:$B$19,0)),0),0))</f>
        <v/>
      </c>
      <c r="N11" s="23">
        <f>IF(L11="",0,IFERROR(IF(ISNUMBER(SEARCH(E11,INDEX('В03 Каталог'!$D$5:$D$19,MATCH(L11,'В03 Каталог'!$B$5:$B$19,0)))),INDEX('В03 Каталог'!$F$5:$F$19,MATCH(L11,'В03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категорію",IF(AND(L11&lt;&gt;"",INDEX('В03 Каталог'!$H$5:$H$19,MATCH(L11,'В03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IF(L12="",0,IFERROR(IF(ISNUMBER(SEARCH(E12,INDEX('В03 Каталог'!$D$5:$D$19,MATCH(L12,'В03 Каталог'!$B$5:$B$19,0)))),INDEX('В03 Каталог'!$E$5:$E$19,MATCH(L12,'В03 Каталог'!$B$5:$B$19,0)),0),0))</f>
        <v/>
      </c>
      <c r="N12" s="23">
        <f>IF(L12="",0,IFERROR(IF(ISNUMBER(SEARCH(E12,INDEX('В03 Каталог'!$D$5:$D$19,MATCH(L12,'В03 Каталог'!$B$5:$B$19,0)))),INDEX('В03 Каталог'!$F$5:$F$19,MATCH(L12,'В03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категорію",IF(AND(L12&lt;&gt;"",INDEX('В03 Каталог'!$H$5:$H$19,MATCH(L12,'В03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IF(L13="",0,IFERROR(IF(ISNUMBER(SEARCH(E13,INDEX('В03 Каталог'!$D$5:$D$19,MATCH(L13,'В03 Каталог'!$B$5:$B$19,0)))),INDEX('В03 Каталог'!$E$5:$E$19,MATCH(L13,'В03 Каталог'!$B$5:$B$19,0)),0),0))</f>
        <v/>
      </c>
      <c r="N13" s="23">
        <f>IF(L13="",0,IFERROR(IF(ISNUMBER(SEARCH(E13,INDEX('В03 Каталог'!$D$5:$D$19,MATCH(L13,'В03 Каталог'!$B$5:$B$19,0)))),INDEX('В03 Каталог'!$F$5:$F$19,MATCH(L13,'В03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категорію",IF(AND(L13&lt;&gt;"",INDEX('В03 Каталог'!$H$5:$H$19,MATCH(L13,'В03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IF(L14="",0,IFERROR(IF(ISNUMBER(SEARCH(E14,INDEX('В03 Каталог'!$D$5:$D$19,MATCH(L14,'В03 Каталог'!$B$5:$B$19,0)))),INDEX('В03 Каталог'!$E$5:$E$19,MATCH(L14,'В03 Каталог'!$B$5:$B$19,0)),0),0))</f>
        <v/>
      </c>
      <c r="N14" s="23">
        <f>IF(L14="",0,IFERROR(IF(ISNUMBER(SEARCH(E14,INDEX('В03 Каталог'!$D$5:$D$19,MATCH(L14,'В03 Каталог'!$B$5:$B$19,0)))),INDEX('В03 Каталог'!$F$5:$F$19,MATCH(L14,'В03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категорію",IF(AND(L14&lt;&gt;"",INDEX('В03 Каталог'!$H$5:$H$19,MATCH(L14,'В03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IF(L15="",0,IFERROR(IF(ISNUMBER(SEARCH(E15,INDEX('В03 Каталог'!$D$5:$D$19,MATCH(L15,'В03 Каталог'!$B$5:$B$19,0)))),INDEX('В03 Каталог'!$E$5:$E$19,MATCH(L15,'В03 Каталог'!$B$5:$B$19,0)),0),0))</f>
        <v/>
      </c>
      <c r="N15" s="23">
        <f>IF(L15="",0,IFERROR(IF(ISNUMBER(SEARCH(E15,INDEX('В03 Каталог'!$D$5:$D$19,MATCH(L15,'В03 Каталог'!$B$5:$B$19,0)))),INDEX('В03 Каталог'!$F$5:$F$19,MATCH(L15,'В03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категорію",IF(AND(L15&lt;&gt;"",INDEX('В03 Каталог'!$H$5:$H$19,MATCH(L15,'В03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IF(L16="",0,IFERROR(IF(ISNUMBER(SEARCH(E16,INDEX('В03 Каталог'!$D$5:$D$19,MATCH(L16,'В03 Каталог'!$B$5:$B$19,0)))),INDEX('В03 Каталог'!$E$5:$E$19,MATCH(L16,'В03 Каталог'!$B$5:$B$19,0)),0),0))</f>
        <v/>
      </c>
      <c r="N16" s="23">
        <f>IF(L16="",0,IFERROR(IF(ISNUMBER(SEARCH(E16,INDEX('В03 Каталог'!$D$5:$D$19,MATCH(L16,'В03 Каталог'!$B$5:$B$19,0)))),INDEX('В03 Каталог'!$F$5:$F$19,MATCH(L16,'В03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категорію",IF(AND(L16&lt;&gt;"",INDEX('В03 Каталог'!$H$5:$H$19,MATCH(L16,'В03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IF(L17="",0,IFERROR(IF(ISNUMBER(SEARCH(E17,INDEX('В03 Каталог'!$D$5:$D$19,MATCH(L17,'В03 Каталог'!$B$5:$B$19,0)))),INDEX('В03 Каталог'!$E$5:$E$19,MATCH(L17,'В03 Каталог'!$B$5:$B$19,0)),0),0))</f>
        <v/>
      </c>
      <c r="N17" s="23">
        <f>IF(L17="",0,IFERROR(IF(ISNUMBER(SEARCH(E17,INDEX('В03 Каталог'!$D$5:$D$19,MATCH(L17,'В03 Каталог'!$B$5:$B$19,0)))),INDEX('В03 Каталог'!$F$5:$F$19,MATCH(L17,'В03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категорію",IF(AND(L17&lt;&gt;"",INDEX('В03 Каталог'!$H$5:$H$19,MATCH(L17,'В03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IF(L18="",0,IFERROR(IF(ISNUMBER(SEARCH(E18,INDEX('В03 Каталог'!$D$5:$D$19,MATCH(L18,'В03 Каталог'!$B$5:$B$19,0)))),INDEX('В03 Каталог'!$E$5:$E$19,MATCH(L18,'В03 Каталог'!$B$5:$B$19,0)),0),0))</f>
        <v/>
      </c>
      <c r="N18" s="23">
        <f>IF(L18="",0,IFERROR(IF(ISNUMBER(SEARCH(E18,INDEX('В03 Каталог'!$D$5:$D$19,MATCH(L18,'В03 Каталог'!$B$5:$B$19,0)))),INDEX('В03 Каталог'!$F$5:$F$19,MATCH(L18,'В03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категорію",IF(AND(L18&lt;&gt;"",INDEX('В03 Каталог'!$H$5:$H$19,MATCH(L18,'В03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IF(L19="",0,IFERROR(IF(ISNUMBER(SEARCH(E19,INDEX('В03 Каталог'!$D$5:$D$19,MATCH(L19,'В03 Каталог'!$B$5:$B$19,0)))),INDEX('В03 Каталог'!$E$5:$E$19,MATCH(L19,'В03 Каталог'!$B$5:$B$19,0)),0),0))</f>
        <v/>
      </c>
      <c r="N19" s="23">
        <f>IF(L19="",0,IFERROR(IF(ISNUMBER(SEARCH(E19,INDEX('В03 Каталог'!$D$5:$D$19,MATCH(L19,'В03 Каталог'!$B$5:$B$19,0)))),INDEX('В03 Каталог'!$F$5:$F$19,MATCH(L19,'В03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категорію",IF(AND(L19&lt;&gt;"",INDEX('В03 Каталог'!$H$5:$H$19,MATCH(L19,'В03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IF(L20="",0,IFERROR(IF(ISNUMBER(SEARCH(E20,INDEX('В03 Каталог'!$D$5:$D$19,MATCH(L20,'В03 Каталог'!$B$5:$B$19,0)))),INDEX('В03 Каталог'!$E$5:$E$19,MATCH(L20,'В03 Каталог'!$B$5:$B$19,0)),0),0))</f>
        <v/>
      </c>
      <c r="N20" s="23">
        <f>IF(L20="",0,IFERROR(IF(ISNUMBER(SEARCH(E20,INDEX('В03 Каталог'!$D$5:$D$19,MATCH(L20,'В03 Каталог'!$B$5:$B$19,0)))),INDEX('В03 Каталог'!$F$5:$F$19,MATCH(L20,'В03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категорію",IF(AND(L20&lt;&gt;"",INDEX('В03 Каталог'!$H$5:$H$19,MATCH(L20,'В03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IF(L21="",0,IFERROR(IF(ISNUMBER(SEARCH(E21,INDEX('В03 Каталог'!$D$5:$D$19,MATCH(L21,'В03 Каталог'!$B$5:$B$19,0)))),INDEX('В03 Каталог'!$E$5:$E$19,MATCH(L21,'В03 Каталог'!$B$5:$B$19,0)),0),0))</f>
        <v/>
      </c>
      <c r="N21" s="23">
        <f>IF(L21="",0,IFERROR(IF(ISNUMBER(SEARCH(E21,INDEX('В03 Каталог'!$D$5:$D$19,MATCH(L21,'В03 Каталог'!$B$5:$B$19,0)))),INDEX('В03 Каталог'!$F$5:$F$19,MATCH(L21,'В03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категорію",IF(AND(L21&lt;&gt;"",INDEX('В03 Каталог'!$H$5:$H$19,MATCH(L21,'В03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IF(L22="",0,IFERROR(IF(ISNUMBER(SEARCH(E22,INDEX('В03 Каталог'!$D$5:$D$19,MATCH(L22,'В03 Каталог'!$B$5:$B$19,0)))),INDEX('В03 Каталог'!$E$5:$E$19,MATCH(L22,'В03 Каталог'!$B$5:$B$19,0)),0),0))</f>
        <v/>
      </c>
      <c r="N22" s="23">
        <f>IF(L22="",0,IFERROR(IF(ISNUMBER(SEARCH(E22,INDEX('В03 Каталог'!$D$5:$D$19,MATCH(L22,'В03 Каталог'!$B$5:$B$19,0)))),INDEX('В03 Каталог'!$F$5:$F$19,MATCH(L22,'В03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категорію",IF(AND(L22&lt;&gt;"",INDEX('В03 Каталог'!$H$5:$H$19,MATCH(L22,'В03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IF(L23="",0,IFERROR(IF(ISNUMBER(SEARCH(E23,INDEX('В03 Каталог'!$D$5:$D$19,MATCH(L23,'В03 Каталог'!$B$5:$B$19,0)))),INDEX('В03 Каталог'!$E$5:$E$19,MATCH(L23,'В03 Каталог'!$B$5:$B$19,0)),0),0))</f>
        <v/>
      </c>
      <c r="N23" s="23">
        <f>IF(L23="",0,IFERROR(IF(ISNUMBER(SEARCH(E23,INDEX('В03 Каталог'!$D$5:$D$19,MATCH(L23,'В03 Каталог'!$B$5:$B$19,0)))),INDEX('В03 Каталог'!$F$5:$F$19,MATCH(L23,'В03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категорію",IF(AND(L23&lt;&gt;"",INDEX('В03 Каталог'!$H$5:$H$19,MATCH(L23,'В03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IF(L24="",0,IFERROR(IF(ISNUMBER(SEARCH(E24,INDEX('В03 Каталог'!$D$5:$D$19,MATCH(L24,'В03 Каталог'!$B$5:$B$19,0)))),INDEX('В03 Каталог'!$E$5:$E$19,MATCH(L24,'В03 Каталог'!$B$5:$B$19,0)),0),0))</f>
        <v/>
      </c>
      <c r="N24" s="23">
        <f>IF(L24="",0,IFERROR(IF(ISNUMBER(SEARCH(E24,INDEX('В03 Каталог'!$D$5:$D$19,MATCH(L24,'В03 Каталог'!$B$5:$B$19,0)))),INDEX('В03 Каталог'!$F$5:$F$19,MATCH(L24,'В03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категорію",IF(AND(L24&lt;&gt;"",INDEX('В03 Каталог'!$H$5:$H$19,MATCH(L24,'В03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='В03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='В03 Каталог'!$B$5:$B$19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55A11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COUNTIFS('В03 Ризики'!$F$5:$F$24,1,'В03 Ризики'!$G$5:$G$24,5)</f>
        <v/>
      </c>
      <c r="C6" s="26">
        <f>COUNTIFS('В03 Ризики'!$F$5:$F$24,2,'В03 Ризики'!$G$5:$G$24,5)</f>
        <v/>
      </c>
      <c r="D6" s="26">
        <f>COUNTIFS('В03 Ризики'!$F$5:$F$24,3,'В03 Ризики'!$G$5:$G$24,5)</f>
        <v/>
      </c>
      <c r="E6" s="27">
        <f>COUNTIFS('В03 Ризики'!$F$5:$F$24,4,'В03 Ризики'!$G$5:$G$24,5)</f>
        <v/>
      </c>
      <c r="F6" s="27">
        <f>COUNTIFS('В03 Ризики'!$F$5:$F$24,5,'В03 Ризики'!$G$5:$G$24,5)</f>
        <v/>
      </c>
      <c r="I6" s="24" t="inlineStr">
        <is>
          <t>C = 5</t>
        </is>
      </c>
      <c r="J6" s="25">
        <f>COUNTIFS('В03 Ризики'!$O$5:$O$24,1,'В03 Ризики'!$P$5:$P$24,5)</f>
        <v/>
      </c>
      <c r="K6" s="26">
        <f>COUNTIFS('В03 Ризики'!$O$5:$O$24,2,'В03 Ризики'!$P$5:$P$24,5)</f>
        <v/>
      </c>
      <c r="L6" s="26">
        <f>COUNTIFS('В03 Ризики'!$O$5:$O$24,3,'В03 Ризики'!$P$5:$P$24,5)</f>
        <v/>
      </c>
      <c r="M6" s="27">
        <f>COUNTIFS('В03 Ризики'!$O$5:$O$24,4,'В03 Ризики'!$P$5:$P$24,5)</f>
        <v/>
      </c>
      <c r="N6" s="27">
        <f>COUNTIFS('В03 Ризики'!$O$5:$O$24,5,'В03 Ризики'!$P$5:$P$24,5)</f>
        <v/>
      </c>
    </row>
    <row r="7" ht="34" customHeight="1">
      <c r="A7" s="24" t="inlineStr">
        <is>
          <t>C = 4</t>
        </is>
      </c>
      <c r="B7" s="28">
        <f>COUNTIFS('В03 Ризики'!$F$5:$F$24,1,'В03 Ризики'!$G$5:$G$24,4)</f>
        <v/>
      </c>
      <c r="C7" s="25">
        <f>COUNTIFS('В03 Ризики'!$F$5:$F$24,2,'В03 Ризики'!$G$5:$G$24,4)</f>
        <v/>
      </c>
      <c r="D7" s="26">
        <f>COUNTIFS('В03 Ризики'!$F$5:$F$24,3,'В03 Ризики'!$G$5:$G$24,4)</f>
        <v/>
      </c>
      <c r="E7" s="26">
        <f>COUNTIFS('В03 Ризики'!$F$5:$F$24,4,'В03 Ризики'!$G$5:$G$24,4)</f>
        <v/>
      </c>
      <c r="F7" s="27">
        <f>COUNTIFS('В03 Ризики'!$F$5:$F$24,5,'В03 Ризики'!$G$5:$G$24,4)</f>
        <v/>
      </c>
      <c r="I7" s="24" t="inlineStr">
        <is>
          <t>C = 4</t>
        </is>
      </c>
      <c r="J7" s="28">
        <f>COUNTIFS('В03 Ризики'!$O$5:$O$24,1,'В03 Ризики'!$P$5:$P$24,4)</f>
        <v/>
      </c>
      <c r="K7" s="25">
        <f>COUNTIFS('В03 Ризики'!$O$5:$O$24,2,'В03 Ризики'!$P$5:$P$24,4)</f>
        <v/>
      </c>
      <c r="L7" s="26">
        <f>COUNTIFS('В03 Ризики'!$O$5:$O$24,3,'В03 Ризики'!$P$5:$P$24,4)</f>
        <v/>
      </c>
      <c r="M7" s="26">
        <f>COUNTIFS('В03 Ризики'!$O$5:$O$24,4,'В03 Ризики'!$P$5:$P$24,4)</f>
        <v/>
      </c>
      <c r="N7" s="27">
        <f>COUNTIFS('В03 Ризики'!$O$5:$O$24,5,'В03 Ризики'!$P$5:$P$24,4)</f>
        <v/>
      </c>
    </row>
    <row r="8" ht="34" customHeight="1">
      <c r="A8" s="24" t="inlineStr">
        <is>
          <t>C = 3</t>
        </is>
      </c>
      <c r="B8" s="28">
        <f>COUNTIFS('В03 Ризики'!$F$5:$F$24,1,'В03 Ризики'!$G$5:$G$24,3)</f>
        <v/>
      </c>
      <c r="C8" s="25">
        <f>COUNTIFS('В03 Ризики'!$F$5:$F$24,2,'В03 Ризики'!$G$5:$G$24,3)</f>
        <v/>
      </c>
      <c r="D8" s="25">
        <f>COUNTIFS('В03 Ризики'!$F$5:$F$24,3,'В03 Ризики'!$G$5:$G$24,3)</f>
        <v/>
      </c>
      <c r="E8" s="26">
        <f>COUNTIFS('В03 Ризики'!$F$5:$F$24,4,'В03 Ризики'!$G$5:$G$24,3)</f>
        <v/>
      </c>
      <c r="F8" s="26">
        <f>COUNTIFS('В03 Ризики'!$F$5:$F$24,5,'В03 Ризики'!$G$5:$G$24,3)</f>
        <v/>
      </c>
      <c r="I8" s="24" t="inlineStr">
        <is>
          <t>C = 3</t>
        </is>
      </c>
      <c r="J8" s="28">
        <f>COUNTIFS('В03 Ризики'!$O$5:$O$24,1,'В03 Ризики'!$P$5:$P$24,3)</f>
        <v/>
      </c>
      <c r="K8" s="25">
        <f>COUNTIFS('В03 Ризики'!$O$5:$O$24,2,'В03 Ризики'!$P$5:$P$24,3)</f>
        <v/>
      </c>
      <c r="L8" s="25">
        <f>COUNTIFS('В03 Ризики'!$O$5:$O$24,3,'В03 Ризики'!$P$5:$P$24,3)</f>
        <v/>
      </c>
      <c r="M8" s="26">
        <f>COUNTIFS('В03 Ризики'!$O$5:$O$24,4,'В03 Ризики'!$P$5:$P$24,3)</f>
        <v/>
      </c>
      <c r="N8" s="26">
        <f>COUNTIFS('В03 Ризики'!$O$5:$O$24,5,'В03 Ризики'!$P$5:$P$24,3)</f>
        <v/>
      </c>
    </row>
    <row r="9" ht="34" customHeight="1">
      <c r="A9" s="24" t="inlineStr">
        <is>
          <t>C = 2</t>
        </is>
      </c>
      <c r="B9" s="28">
        <f>COUNTIFS('В03 Ризики'!$F$5:$F$24,1,'В03 Ризики'!$G$5:$G$24,2)</f>
        <v/>
      </c>
      <c r="C9" s="28">
        <f>COUNTIFS('В03 Ризики'!$F$5:$F$24,2,'В03 Ризики'!$G$5:$G$24,2)</f>
        <v/>
      </c>
      <c r="D9" s="25">
        <f>COUNTIFS('В03 Ризики'!$F$5:$F$24,3,'В03 Ризики'!$G$5:$G$24,2)</f>
        <v/>
      </c>
      <c r="E9" s="25">
        <f>COUNTIFS('В03 Ризики'!$F$5:$F$24,4,'В03 Ризики'!$G$5:$G$24,2)</f>
        <v/>
      </c>
      <c r="F9" s="26">
        <f>COUNTIFS('В03 Ризики'!$F$5:$F$24,5,'В03 Ризики'!$G$5:$G$24,2)</f>
        <v/>
      </c>
      <c r="I9" s="24" t="inlineStr">
        <is>
          <t>C = 2</t>
        </is>
      </c>
      <c r="J9" s="28">
        <f>COUNTIFS('В03 Ризики'!$O$5:$O$24,1,'В03 Ризики'!$P$5:$P$24,2)</f>
        <v/>
      </c>
      <c r="K9" s="28">
        <f>COUNTIFS('В03 Ризики'!$O$5:$O$24,2,'В03 Ризики'!$P$5:$P$24,2)</f>
        <v/>
      </c>
      <c r="L9" s="25">
        <f>COUNTIFS('В03 Ризики'!$O$5:$O$24,3,'В03 Ризики'!$P$5:$P$24,2)</f>
        <v/>
      </c>
      <c r="M9" s="25">
        <f>COUNTIFS('В03 Ризики'!$O$5:$O$24,4,'В03 Ризики'!$P$5:$P$24,2)</f>
        <v/>
      </c>
      <c r="N9" s="26">
        <f>COUNTIFS('В03 Ризики'!$O$5:$O$24,5,'В03 Ризики'!$P$5:$P$24,2)</f>
        <v/>
      </c>
    </row>
    <row r="10" ht="34" customHeight="1">
      <c r="A10" s="24" t="inlineStr">
        <is>
          <t>C = 1</t>
        </is>
      </c>
      <c r="B10" s="28">
        <f>COUNTIFS('В03 Ризики'!$F$5:$F$24,1,'В03 Ризики'!$G$5:$G$24,1)</f>
        <v/>
      </c>
      <c r="C10" s="28">
        <f>COUNTIFS('В03 Ризики'!$F$5:$F$24,2,'В03 Ризики'!$G$5:$G$24,1)</f>
        <v/>
      </c>
      <c r="D10" s="28">
        <f>COUNTIFS('В03 Ризики'!$F$5:$F$24,3,'В03 Ризики'!$G$5:$G$24,1)</f>
        <v/>
      </c>
      <c r="E10" s="28">
        <f>COUNTIFS('В03 Ризики'!$F$5:$F$24,4,'В03 Ризики'!$G$5:$G$24,1)</f>
        <v/>
      </c>
      <c r="F10" s="25">
        <f>COUNTIFS('В03 Ризики'!$F$5:$F$24,5,'В03 Ризики'!$G$5:$G$24,1)</f>
        <v/>
      </c>
      <c r="I10" s="24" t="inlineStr">
        <is>
          <t>C = 1</t>
        </is>
      </c>
      <c r="J10" s="28">
        <f>COUNTIFS('В03 Ризики'!$O$5:$O$24,1,'В03 Ризики'!$P$5:$P$24,1)</f>
        <v/>
      </c>
      <c r="K10" s="28">
        <f>COUNTIFS('В03 Ризики'!$O$5:$O$24,2,'В03 Ризики'!$P$5:$P$24,1)</f>
        <v/>
      </c>
      <c r="L10" s="28">
        <f>COUNTIFS('В03 Ризики'!$O$5:$O$24,3,'В03 Ризики'!$P$5:$P$24,1)</f>
        <v/>
      </c>
      <c r="M10" s="28">
        <f>COUNTIFS('В03 Ризики'!$O$5:$O$24,4,'В03 Ризики'!$P$5:$P$24,1)</f>
        <v/>
      </c>
      <c r="N10" s="25">
        <f>COUNTIFS('В03 Ризики'!$O$5:$O$24,5,'В03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55A11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SUM('В03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SUM('В03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SUM('В03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COUNTIF('В03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SUMPRODUCT(('В03 Ризики'!J5:J24="Так")*('В03 Ризики'!R5:R24&lt;&gt;"ОК"))</f>
        <v/>
      </c>
    </row>
    <row r="13">
      <c r="A13" s="31" t="inlineStr">
        <is>
          <t>Ризики у реєстрі</t>
        </is>
      </c>
      <c r="B13" s="33">
        <f>COUNTA('В03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55A11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48235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04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48235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04</t>
        </is>
      </c>
    </row>
    <row r="2"/>
    <row r="3">
      <c r="A3" s="10" t="inlineStr">
        <is>
          <t>Номер варіанта</t>
        </is>
      </c>
      <c r="B3" s="11" t="inlineStr">
        <is>
          <t>04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260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240</t>
        </is>
      </c>
    </row>
    <row r="12">
      <c r="A12" s="10" t="inlineStr">
        <is>
          <t>Резервне живлення</t>
        </is>
      </c>
      <c r="B12" s="11" t="inlineStr">
        <is>
          <t>генератор і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0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3</t>
        </is>
      </c>
    </row>
    <row r="16">
      <c r="A16" s="10" t="inlineStr">
        <is>
          <t>Особливий актив відділення</t>
        </is>
      </c>
      <c r="B16" s="11" t="inlineStr">
        <is>
          <t>Планшети менеджерів із мобільним застосунком банку (виїзне обслуговування)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548235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IF(COUNTIF('В04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IF(COUNTIF('В04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IF(COUNTIF('В04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IF(COUNTIF('В04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IF(COUNTIF('В04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IF(COUNTIF('В04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IF(COUNTIF('В04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IF(COUNTIF('В04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IF(COUNTIF('В04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IF(COUNTIF('В04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IF(COUNTIF('В04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IF(COUNTIF('В04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IF(COUNTIF('В04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IF(COUNTIF('В04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IF(COUNTIF('В04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48235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48235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Серверна й обладнання відділення</t>
        </is>
      </c>
      <c r="C5" s="14" t="inlineStr">
        <is>
          <t>Зловживання правами недобросовісним співробітником</t>
        </is>
      </c>
      <c r="D5" s="14" t="inlineStr">
        <is>
          <t>права адміністратора в кількох працівників, журнали не переглядають</t>
        </is>
      </c>
      <c r="E5" s="14" t="n">
        <v>2</v>
      </c>
      <c r="F5" s="14" t="n">
        <v>4</v>
      </c>
      <c r="G5" s="14" t="inlineStr">
        <is>
          <t>оцінено за політикою доступу</t>
        </is>
      </c>
    </row>
    <row r="6">
      <c r="A6" s="14" t="n">
        <v>2</v>
      </c>
      <c r="B6" s="14" t="inlineStr">
        <is>
          <t>Вуличний банкомат (готівка)</t>
        </is>
      </c>
      <c r="C6" s="14" t="inlineStr">
        <is>
          <t>Злам банкомата з метою вилучення готівки</t>
        </is>
      </c>
      <c r="D6" s="14" t="inlineStr">
        <is>
          <t>камери немає, освітлення погане</t>
        </is>
      </c>
      <c r="E6" s="14" t="n">
        <v>4</v>
      </c>
      <c r="F6" s="14" t="n">
        <v>4</v>
      </c>
      <c r="G6" s="14" t="inlineStr">
        <is>
          <t>другий запис, інші слова</t>
        </is>
      </c>
    </row>
    <row r="7">
      <c r="A7" s="14" t="n">
        <v>3</v>
      </c>
      <c r="B7" s="14" t="inlineStr">
        <is>
          <t>Вуличний банкомат (картки клієнтів)</t>
        </is>
      </c>
      <c r="C7" s="14" t="inlineStr">
        <is>
          <t>Встановлення скімера й масове копіювання карток</t>
        </is>
      </c>
      <c r="D7" s="14" t="inlineStr">
        <is>
          <t>камери немає, освітлення добре</t>
        </is>
      </c>
      <c r="E7" s="14" t="n">
        <v>4</v>
      </c>
      <c r="F7" s="14" t="n">
        <v>4</v>
      </c>
      <c r="G7" s="14" t="inlineStr">
        <is>
          <t>оцінено за даними профілю</t>
        </is>
      </c>
    </row>
    <row r="8">
      <c r="A8" s="14" t="n">
        <v>4</v>
      </c>
      <c r="B8" s="14" t="n"/>
      <c r="C8" s="14" t="inlineStr">
        <is>
          <t>Фішинг</t>
        </is>
      </c>
      <c r="D8" s="14" t="n"/>
      <c r="E8" s="14" t="n">
        <v>4</v>
      </c>
      <c r="F8" s="14" t="n">
        <v>4</v>
      </c>
      <c r="G8" s="14" t="inlineStr">
        <is>
          <t>Дуже небезпечно, треба бачити</t>
        </is>
      </c>
    </row>
    <row r="9">
      <c r="A9" s="14" t="n">
        <v>5</v>
      </c>
      <c r="B9" s="14" t="inlineStr">
        <is>
          <t>Канал зв'язку з головним офісом</t>
        </is>
      </c>
      <c r="C9" s="14" t="inlineStr">
        <is>
          <t>Відмова каналу до головного офісу</t>
        </is>
      </c>
      <c r="D9" s="14" t="inlineStr">
        <is>
          <t>два канали</t>
        </is>
      </c>
      <c r="E9" s="14" t="n">
        <v>2</v>
      </c>
      <c r="F9" s="14" t="n">
        <v>3</v>
      </c>
      <c r="G9" s="14" t="inlineStr">
        <is>
          <t>оцінено за даними профілю</t>
        </is>
      </c>
    </row>
    <row r="10">
      <c r="A10" s="14" t="n">
        <v>6</v>
      </c>
      <c r="B10" s="14" t="inlineStr">
        <is>
          <t>Серверна</t>
        </is>
      </c>
      <c r="C10" s="14" t="inlineStr">
        <is>
          <t>Пожежа в серверній</t>
        </is>
      </c>
      <c r="D10" s="14" t="inlineStr">
        <is>
          <t>немає автоматичного пожежогасіння</t>
        </is>
      </c>
      <c r="E10" s="14" t="n">
        <v>5</v>
      </c>
      <c r="F10" s="14" t="n">
        <v>5</v>
      </c>
      <c r="G10" s="14" t="inlineStr">
        <is>
          <t>За останні сім років було лише один такий випадок у нашій мережі</t>
        </is>
      </c>
    </row>
    <row r="11">
      <c r="A11" s="14" t="n">
        <v>7</v>
      </c>
      <c r="B11" s="14" t="inlineStr">
        <is>
          <t>Вуличний банкомат (готівка)</t>
        </is>
      </c>
      <c r="C11" s="14" t="inlineStr">
        <is>
          <t>Крадіжка готівки з вуличного банкомата</t>
        </is>
      </c>
      <c r="D11" s="14" t="inlineStr">
        <is>
          <t>камери немає, освітлення погане</t>
        </is>
      </c>
      <c r="E11" s="14" t="n">
        <v>4</v>
      </c>
      <c r="F11" s="14" t="n">
        <v>4</v>
      </c>
      <c r="G11" s="14" t="inlineStr">
        <is>
          <t>перший з двох записів про одне й те саме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48235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IF(L5="",0,IFERROR(IF(ISNUMBER(SEARCH(E5,INDEX('В04 Каталог'!$D$5:$D$19,MATCH(L5,'В04 Каталог'!$B$5:$B$19,0)))),INDEX('В04 Каталог'!$E$5:$E$19,MATCH(L5,'В04 Каталог'!$B$5:$B$19,0)),0),0))</f>
        <v/>
      </c>
      <c r="N5" s="23">
        <f>IF(L5="",0,IFERROR(IF(ISNUMBER(SEARCH(E5,INDEX('В04 Каталог'!$D$5:$D$19,MATCH(L5,'В04 Каталог'!$B$5:$B$19,0)))),INDEX('В04 Каталог'!$F$5:$F$19,MATCH(L5,'В04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категорію",IF(AND(L5&lt;&gt;"",INDEX('В04 Каталог'!$H$5:$H$19,MATCH(L5,'В04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IF(L6="",0,IFERROR(IF(ISNUMBER(SEARCH(E6,INDEX('В04 Каталог'!$D$5:$D$19,MATCH(L6,'В04 Каталог'!$B$5:$B$19,0)))),INDEX('В04 Каталог'!$E$5:$E$19,MATCH(L6,'В04 Каталог'!$B$5:$B$19,0)),0),0))</f>
        <v/>
      </c>
      <c r="N6" s="23">
        <f>IF(L6="",0,IFERROR(IF(ISNUMBER(SEARCH(E6,INDEX('В04 Каталог'!$D$5:$D$19,MATCH(L6,'В04 Каталог'!$B$5:$B$19,0)))),INDEX('В04 Каталог'!$F$5:$F$19,MATCH(L6,'В04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категорію",IF(AND(L6&lt;&gt;"",INDEX('В04 Каталог'!$H$5:$H$19,MATCH(L6,'В04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IF(L7="",0,IFERROR(IF(ISNUMBER(SEARCH(E7,INDEX('В04 Каталог'!$D$5:$D$19,MATCH(L7,'В04 Каталог'!$B$5:$B$19,0)))),INDEX('В04 Каталог'!$E$5:$E$19,MATCH(L7,'В04 Каталог'!$B$5:$B$19,0)),0),0))</f>
        <v/>
      </c>
      <c r="N7" s="23">
        <f>IF(L7="",0,IFERROR(IF(ISNUMBER(SEARCH(E7,INDEX('В04 Каталог'!$D$5:$D$19,MATCH(L7,'В04 Каталог'!$B$5:$B$19,0)))),INDEX('В04 Каталог'!$F$5:$F$19,MATCH(L7,'В04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категорію",IF(AND(L7&lt;&gt;"",INDEX('В04 Каталог'!$H$5:$H$19,MATCH(L7,'В04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IF(L8="",0,IFERROR(IF(ISNUMBER(SEARCH(E8,INDEX('В04 Каталог'!$D$5:$D$19,MATCH(L8,'В04 Каталог'!$B$5:$B$19,0)))),INDEX('В04 Каталог'!$E$5:$E$19,MATCH(L8,'В04 Каталог'!$B$5:$B$19,0)),0),0))</f>
        <v/>
      </c>
      <c r="N8" s="23">
        <f>IF(L8="",0,IFERROR(IF(ISNUMBER(SEARCH(E8,INDEX('В04 Каталог'!$D$5:$D$19,MATCH(L8,'В04 Каталог'!$B$5:$B$19,0)))),INDEX('В04 Каталог'!$F$5:$F$19,MATCH(L8,'В04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категорію",IF(AND(L8&lt;&gt;"",INDEX('В04 Каталог'!$H$5:$H$19,MATCH(L8,'В04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IF(L9="",0,IFERROR(IF(ISNUMBER(SEARCH(E9,INDEX('В04 Каталог'!$D$5:$D$19,MATCH(L9,'В04 Каталог'!$B$5:$B$19,0)))),INDEX('В04 Каталог'!$E$5:$E$19,MATCH(L9,'В04 Каталог'!$B$5:$B$19,0)),0),0))</f>
        <v/>
      </c>
      <c r="N9" s="23">
        <f>IF(L9="",0,IFERROR(IF(ISNUMBER(SEARCH(E9,INDEX('В04 Каталог'!$D$5:$D$19,MATCH(L9,'В04 Каталог'!$B$5:$B$19,0)))),INDEX('В04 Каталог'!$F$5:$F$19,MATCH(L9,'В04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категорію",IF(AND(L9&lt;&gt;"",INDEX('В04 Каталог'!$H$5:$H$19,MATCH(L9,'В04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IF(L10="",0,IFERROR(IF(ISNUMBER(SEARCH(E10,INDEX('В04 Каталог'!$D$5:$D$19,MATCH(L10,'В04 Каталог'!$B$5:$B$19,0)))),INDEX('В04 Каталог'!$E$5:$E$19,MATCH(L10,'В04 Каталог'!$B$5:$B$19,0)),0),0))</f>
        <v/>
      </c>
      <c r="N10" s="23">
        <f>IF(L10="",0,IFERROR(IF(ISNUMBER(SEARCH(E10,INDEX('В04 Каталог'!$D$5:$D$19,MATCH(L10,'В04 Каталог'!$B$5:$B$19,0)))),INDEX('В04 Каталог'!$F$5:$F$19,MATCH(L10,'В04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категорію",IF(AND(L10&lt;&gt;"",INDEX('В04 Каталог'!$H$5:$H$19,MATCH(L10,'В04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IF(L11="",0,IFERROR(IF(ISNUMBER(SEARCH(E11,INDEX('В04 Каталог'!$D$5:$D$19,MATCH(L11,'В04 Каталог'!$B$5:$B$19,0)))),INDEX('В04 Каталог'!$E$5:$E$19,MATCH(L11,'В04 Каталог'!$B$5:$B$19,0)),0),0))</f>
        <v/>
      </c>
      <c r="N11" s="23">
        <f>IF(L11="",0,IFERROR(IF(ISNUMBER(SEARCH(E11,INDEX('В04 Каталог'!$D$5:$D$19,MATCH(L11,'В04 Каталог'!$B$5:$B$19,0)))),INDEX('В04 Каталог'!$F$5:$F$19,MATCH(L11,'В04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категорію",IF(AND(L11&lt;&gt;"",INDEX('В04 Каталог'!$H$5:$H$19,MATCH(L11,'В04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IF(L12="",0,IFERROR(IF(ISNUMBER(SEARCH(E12,INDEX('В04 Каталог'!$D$5:$D$19,MATCH(L12,'В04 Каталог'!$B$5:$B$19,0)))),INDEX('В04 Каталог'!$E$5:$E$19,MATCH(L12,'В04 Каталог'!$B$5:$B$19,0)),0),0))</f>
        <v/>
      </c>
      <c r="N12" s="23">
        <f>IF(L12="",0,IFERROR(IF(ISNUMBER(SEARCH(E12,INDEX('В04 Каталог'!$D$5:$D$19,MATCH(L12,'В04 Каталог'!$B$5:$B$19,0)))),INDEX('В04 Каталог'!$F$5:$F$19,MATCH(L12,'В04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категорію",IF(AND(L12&lt;&gt;"",INDEX('В04 Каталог'!$H$5:$H$19,MATCH(L12,'В04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IF(L13="",0,IFERROR(IF(ISNUMBER(SEARCH(E13,INDEX('В04 Каталог'!$D$5:$D$19,MATCH(L13,'В04 Каталог'!$B$5:$B$19,0)))),INDEX('В04 Каталог'!$E$5:$E$19,MATCH(L13,'В04 Каталог'!$B$5:$B$19,0)),0),0))</f>
        <v/>
      </c>
      <c r="N13" s="23">
        <f>IF(L13="",0,IFERROR(IF(ISNUMBER(SEARCH(E13,INDEX('В04 Каталог'!$D$5:$D$19,MATCH(L13,'В04 Каталог'!$B$5:$B$19,0)))),INDEX('В04 Каталог'!$F$5:$F$19,MATCH(L13,'В04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категорію",IF(AND(L13&lt;&gt;"",INDEX('В04 Каталог'!$H$5:$H$19,MATCH(L13,'В04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IF(L14="",0,IFERROR(IF(ISNUMBER(SEARCH(E14,INDEX('В04 Каталог'!$D$5:$D$19,MATCH(L14,'В04 Каталог'!$B$5:$B$19,0)))),INDEX('В04 Каталог'!$E$5:$E$19,MATCH(L14,'В04 Каталог'!$B$5:$B$19,0)),0),0))</f>
        <v/>
      </c>
      <c r="N14" s="23">
        <f>IF(L14="",0,IFERROR(IF(ISNUMBER(SEARCH(E14,INDEX('В04 Каталог'!$D$5:$D$19,MATCH(L14,'В04 Каталог'!$B$5:$B$19,0)))),INDEX('В04 Каталог'!$F$5:$F$19,MATCH(L14,'В04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категорію",IF(AND(L14&lt;&gt;"",INDEX('В04 Каталог'!$H$5:$H$19,MATCH(L14,'В04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IF(L15="",0,IFERROR(IF(ISNUMBER(SEARCH(E15,INDEX('В04 Каталог'!$D$5:$D$19,MATCH(L15,'В04 Каталог'!$B$5:$B$19,0)))),INDEX('В04 Каталог'!$E$5:$E$19,MATCH(L15,'В04 Каталог'!$B$5:$B$19,0)),0),0))</f>
        <v/>
      </c>
      <c r="N15" s="23">
        <f>IF(L15="",0,IFERROR(IF(ISNUMBER(SEARCH(E15,INDEX('В04 Каталог'!$D$5:$D$19,MATCH(L15,'В04 Каталог'!$B$5:$B$19,0)))),INDEX('В04 Каталог'!$F$5:$F$19,MATCH(L15,'В04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категорію",IF(AND(L15&lt;&gt;"",INDEX('В04 Каталог'!$H$5:$H$19,MATCH(L15,'В04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IF(L16="",0,IFERROR(IF(ISNUMBER(SEARCH(E16,INDEX('В04 Каталог'!$D$5:$D$19,MATCH(L16,'В04 Каталог'!$B$5:$B$19,0)))),INDEX('В04 Каталог'!$E$5:$E$19,MATCH(L16,'В04 Каталог'!$B$5:$B$19,0)),0),0))</f>
        <v/>
      </c>
      <c r="N16" s="23">
        <f>IF(L16="",0,IFERROR(IF(ISNUMBER(SEARCH(E16,INDEX('В04 Каталог'!$D$5:$D$19,MATCH(L16,'В04 Каталог'!$B$5:$B$19,0)))),INDEX('В04 Каталог'!$F$5:$F$19,MATCH(L16,'В04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категорію",IF(AND(L16&lt;&gt;"",INDEX('В04 Каталог'!$H$5:$H$19,MATCH(L16,'В04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IF(L17="",0,IFERROR(IF(ISNUMBER(SEARCH(E17,INDEX('В04 Каталог'!$D$5:$D$19,MATCH(L17,'В04 Каталог'!$B$5:$B$19,0)))),INDEX('В04 Каталог'!$E$5:$E$19,MATCH(L17,'В04 Каталог'!$B$5:$B$19,0)),0),0))</f>
        <v/>
      </c>
      <c r="N17" s="23">
        <f>IF(L17="",0,IFERROR(IF(ISNUMBER(SEARCH(E17,INDEX('В04 Каталог'!$D$5:$D$19,MATCH(L17,'В04 Каталог'!$B$5:$B$19,0)))),INDEX('В04 Каталог'!$F$5:$F$19,MATCH(L17,'В04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категорію",IF(AND(L17&lt;&gt;"",INDEX('В04 Каталог'!$H$5:$H$19,MATCH(L17,'В04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IF(L18="",0,IFERROR(IF(ISNUMBER(SEARCH(E18,INDEX('В04 Каталог'!$D$5:$D$19,MATCH(L18,'В04 Каталог'!$B$5:$B$19,0)))),INDEX('В04 Каталог'!$E$5:$E$19,MATCH(L18,'В04 Каталог'!$B$5:$B$19,0)),0),0))</f>
        <v/>
      </c>
      <c r="N18" s="23">
        <f>IF(L18="",0,IFERROR(IF(ISNUMBER(SEARCH(E18,INDEX('В04 Каталог'!$D$5:$D$19,MATCH(L18,'В04 Каталог'!$B$5:$B$19,0)))),INDEX('В04 Каталог'!$F$5:$F$19,MATCH(L18,'В04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категорію",IF(AND(L18&lt;&gt;"",INDEX('В04 Каталог'!$H$5:$H$19,MATCH(L18,'В04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IF(L19="",0,IFERROR(IF(ISNUMBER(SEARCH(E19,INDEX('В04 Каталог'!$D$5:$D$19,MATCH(L19,'В04 Каталог'!$B$5:$B$19,0)))),INDEX('В04 Каталог'!$E$5:$E$19,MATCH(L19,'В04 Каталог'!$B$5:$B$19,0)),0),0))</f>
        <v/>
      </c>
      <c r="N19" s="23">
        <f>IF(L19="",0,IFERROR(IF(ISNUMBER(SEARCH(E19,INDEX('В04 Каталог'!$D$5:$D$19,MATCH(L19,'В04 Каталог'!$B$5:$B$19,0)))),INDEX('В04 Каталог'!$F$5:$F$19,MATCH(L19,'В04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категорію",IF(AND(L19&lt;&gt;"",INDEX('В04 Каталог'!$H$5:$H$19,MATCH(L19,'В04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IF(L20="",0,IFERROR(IF(ISNUMBER(SEARCH(E20,INDEX('В04 Каталог'!$D$5:$D$19,MATCH(L20,'В04 Каталог'!$B$5:$B$19,0)))),INDEX('В04 Каталог'!$E$5:$E$19,MATCH(L20,'В04 Каталог'!$B$5:$B$19,0)),0),0))</f>
        <v/>
      </c>
      <c r="N20" s="23">
        <f>IF(L20="",0,IFERROR(IF(ISNUMBER(SEARCH(E20,INDEX('В04 Каталог'!$D$5:$D$19,MATCH(L20,'В04 Каталог'!$B$5:$B$19,0)))),INDEX('В04 Каталог'!$F$5:$F$19,MATCH(L20,'В04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категорію",IF(AND(L20&lt;&gt;"",INDEX('В04 Каталог'!$H$5:$H$19,MATCH(L20,'В04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IF(L21="",0,IFERROR(IF(ISNUMBER(SEARCH(E21,INDEX('В04 Каталог'!$D$5:$D$19,MATCH(L21,'В04 Каталог'!$B$5:$B$19,0)))),INDEX('В04 Каталог'!$E$5:$E$19,MATCH(L21,'В04 Каталог'!$B$5:$B$19,0)),0),0))</f>
        <v/>
      </c>
      <c r="N21" s="23">
        <f>IF(L21="",0,IFERROR(IF(ISNUMBER(SEARCH(E21,INDEX('В04 Каталог'!$D$5:$D$19,MATCH(L21,'В04 Каталог'!$B$5:$B$19,0)))),INDEX('В04 Каталог'!$F$5:$F$19,MATCH(L21,'В04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категорію",IF(AND(L21&lt;&gt;"",INDEX('В04 Каталог'!$H$5:$H$19,MATCH(L21,'В04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IF(L22="",0,IFERROR(IF(ISNUMBER(SEARCH(E22,INDEX('В04 Каталог'!$D$5:$D$19,MATCH(L22,'В04 Каталог'!$B$5:$B$19,0)))),INDEX('В04 Каталог'!$E$5:$E$19,MATCH(L22,'В04 Каталог'!$B$5:$B$19,0)),0),0))</f>
        <v/>
      </c>
      <c r="N22" s="23">
        <f>IF(L22="",0,IFERROR(IF(ISNUMBER(SEARCH(E22,INDEX('В04 Каталог'!$D$5:$D$19,MATCH(L22,'В04 Каталог'!$B$5:$B$19,0)))),INDEX('В04 Каталог'!$F$5:$F$19,MATCH(L22,'В04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категорію",IF(AND(L22&lt;&gt;"",INDEX('В04 Каталог'!$H$5:$H$19,MATCH(L22,'В04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IF(L23="",0,IFERROR(IF(ISNUMBER(SEARCH(E23,INDEX('В04 Каталог'!$D$5:$D$19,MATCH(L23,'В04 Каталог'!$B$5:$B$19,0)))),INDEX('В04 Каталог'!$E$5:$E$19,MATCH(L23,'В04 Каталог'!$B$5:$B$19,0)),0),0))</f>
        <v/>
      </c>
      <c r="N23" s="23">
        <f>IF(L23="",0,IFERROR(IF(ISNUMBER(SEARCH(E23,INDEX('В04 Каталог'!$D$5:$D$19,MATCH(L23,'В04 Каталог'!$B$5:$B$19,0)))),INDEX('В04 Каталог'!$F$5:$F$19,MATCH(L23,'В04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категорію",IF(AND(L23&lt;&gt;"",INDEX('В04 Каталог'!$H$5:$H$19,MATCH(L23,'В04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IF(L24="",0,IFERROR(IF(ISNUMBER(SEARCH(E24,INDEX('В04 Каталог'!$D$5:$D$19,MATCH(L24,'В04 Каталог'!$B$5:$B$19,0)))),INDEX('В04 Каталог'!$E$5:$E$19,MATCH(L24,'В04 Каталог'!$B$5:$B$19,0)),0),0))</f>
        <v/>
      </c>
      <c r="N24" s="23">
        <f>IF(L24="",0,IFERROR(IF(ISNUMBER(SEARCH(E24,INDEX('В04 Каталог'!$D$5:$D$19,MATCH(L24,'В04 Каталог'!$B$5:$B$19,0)))),INDEX('В04 Каталог'!$F$5:$F$19,MATCH(L24,'В04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категорію",IF(AND(L24&lt;&gt;"",INDEX('В04 Каталог'!$H$5:$H$19,MATCH(L24,'В04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='В04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='В04 Каталог'!$B$5:$B$19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48235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COUNTIFS('В04 Ризики'!$F$5:$F$24,1,'В04 Ризики'!$G$5:$G$24,5)</f>
        <v/>
      </c>
      <c r="C6" s="26">
        <f>COUNTIFS('В04 Ризики'!$F$5:$F$24,2,'В04 Ризики'!$G$5:$G$24,5)</f>
        <v/>
      </c>
      <c r="D6" s="26">
        <f>COUNTIFS('В04 Ризики'!$F$5:$F$24,3,'В04 Ризики'!$G$5:$G$24,5)</f>
        <v/>
      </c>
      <c r="E6" s="27">
        <f>COUNTIFS('В04 Ризики'!$F$5:$F$24,4,'В04 Ризики'!$G$5:$G$24,5)</f>
        <v/>
      </c>
      <c r="F6" s="27">
        <f>COUNTIFS('В04 Ризики'!$F$5:$F$24,5,'В04 Ризики'!$G$5:$G$24,5)</f>
        <v/>
      </c>
      <c r="I6" s="24" t="inlineStr">
        <is>
          <t>C = 5</t>
        </is>
      </c>
      <c r="J6" s="25">
        <f>COUNTIFS('В04 Ризики'!$O$5:$O$24,1,'В04 Ризики'!$P$5:$P$24,5)</f>
        <v/>
      </c>
      <c r="K6" s="26">
        <f>COUNTIFS('В04 Ризики'!$O$5:$O$24,2,'В04 Ризики'!$P$5:$P$24,5)</f>
        <v/>
      </c>
      <c r="L6" s="26">
        <f>COUNTIFS('В04 Ризики'!$O$5:$O$24,3,'В04 Ризики'!$P$5:$P$24,5)</f>
        <v/>
      </c>
      <c r="M6" s="27">
        <f>COUNTIFS('В04 Ризики'!$O$5:$O$24,4,'В04 Ризики'!$P$5:$P$24,5)</f>
        <v/>
      </c>
      <c r="N6" s="27">
        <f>COUNTIFS('В04 Ризики'!$O$5:$O$24,5,'В04 Ризики'!$P$5:$P$24,5)</f>
        <v/>
      </c>
    </row>
    <row r="7" ht="34" customHeight="1">
      <c r="A7" s="24" t="inlineStr">
        <is>
          <t>C = 4</t>
        </is>
      </c>
      <c r="B7" s="28">
        <f>COUNTIFS('В04 Ризики'!$F$5:$F$24,1,'В04 Ризики'!$G$5:$G$24,4)</f>
        <v/>
      </c>
      <c r="C7" s="25">
        <f>COUNTIFS('В04 Ризики'!$F$5:$F$24,2,'В04 Ризики'!$G$5:$G$24,4)</f>
        <v/>
      </c>
      <c r="D7" s="26">
        <f>COUNTIFS('В04 Ризики'!$F$5:$F$24,3,'В04 Ризики'!$G$5:$G$24,4)</f>
        <v/>
      </c>
      <c r="E7" s="26">
        <f>COUNTIFS('В04 Ризики'!$F$5:$F$24,4,'В04 Ризики'!$G$5:$G$24,4)</f>
        <v/>
      </c>
      <c r="F7" s="27">
        <f>COUNTIFS('В04 Ризики'!$F$5:$F$24,5,'В04 Ризики'!$G$5:$G$24,4)</f>
        <v/>
      </c>
      <c r="I7" s="24" t="inlineStr">
        <is>
          <t>C = 4</t>
        </is>
      </c>
      <c r="J7" s="28">
        <f>COUNTIFS('В04 Ризики'!$O$5:$O$24,1,'В04 Ризики'!$P$5:$P$24,4)</f>
        <v/>
      </c>
      <c r="K7" s="25">
        <f>COUNTIFS('В04 Ризики'!$O$5:$O$24,2,'В04 Ризики'!$P$5:$P$24,4)</f>
        <v/>
      </c>
      <c r="L7" s="26">
        <f>COUNTIFS('В04 Ризики'!$O$5:$O$24,3,'В04 Ризики'!$P$5:$P$24,4)</f>
        <v/>
      </c>
      <c r="M7" s="26">
        <f>COUNTIFS('В04 Ризики'!$O$5:$O$24,4,'В04 Ризики'!$P$5:$P$24,4)</f>
        <v/>
      </c>
      <c r="N7" s="27">
        <f>COUNTIFS('В04 Ризики'!$O$5:$O$24,5,'В04 Ризики'!$P$5:$P$24,4)</f>
        <v/>
      </c>
    </row>
    <row r="8" ht="34" customHeight="1">
      <c r="A8" s="24" t="inlineStr">
        <is>
          <t>C = 3</t>
        </is>
      </c>
      <c r="B8" s="28">
        <f>COUNTIFS('В04 Ризики'!$F$5:$F$24,1,'В04 Ризики'!$G$5:$G$24,3)</f>
        <v/>
      </c>
      <c r="C8" s="25">
        <f>COUNTIFS('В04 Ризики'!$F$5:$F$24,2,'В04 Ризики'!$G$5:$G$24,3)</f>
        <v/>
      </c>
      <c r="D8" s="25">
        <f>COUNTIFS('В04 Ризики'!$F$5:$F$24,3,'В04 Ризики'!$G$5:$G$24,3)</f>
        <v/>
      </c>
      <c r="E8" s="26">
        <f>COUNTIFS('В04 Ризики'!$F$5:$F$24,4,'В04 Ризики'!$G$5:$G$24,3)</f>
        <v/>
      </c>
      <c r="F8" s="26">
        <f>COUNTIFS('В04 Ризики'!$F$5:$F$24,5,'В04 Ризики'!$G$5:$G$24,3)</f>
        <v/>
      </c>
      <c r="I8" s="24" t="inlineStr">
        <is>
          <t>C = 3</t>
        </is>
      </c>
      <c r="J8" s="28">
        <f>COUNTIFS('В04 Ризики'!$O$5:$O$24,1,'В04 Ризики'!$P$5:$P$24,3)</f>
        <v/>
      </c>
      <c r="K8" s="25">
        <f>COUNTIFS('В04 Ризики'!$O$5:$O$24,2,'В04 Ризики'!$P$5:$P$24,3)</f>
        <v/>
      </c>
      <c r="L8" s="25">
        <f>COUNTIFS('В04 Ризики'!$O$5:$O$24,3,'В04 Ризики'!$P$5:$P$24,3)</f>
        <v/>
      </c>
      <c r="M8" s="26">
        <f>COUNTIFS('В04 Ризики'!$O$5:$O$24,4,'В04 Ризики'!$P$5:$P$24,3)</f>
        <v/>
      </c>
      <c r="N8" s="26">
        <f>COUNTIFS('В04 Ризики'!$O$5:$O$24,5,'В04 Ризики'!$P$5:$P$24,3)</f>
        <v/>
      </c>
    </row>
    <row r="9" ht="34" customHeight="1">
      <c r="A9" s="24" t="inlineStr">
        <is>
          <t>C = 2</t>
        </is>
      </c>
      <c r="B9" s="28">
        <f>COUNTIFS('В04 Ризики'!$F$5:$F$24,1,'В04 Ризики'!$G$5:$G$24,2)</f>
        <v/>
      </c>
      <c r="C9" s="28">
        <f>COUNTIFS('В04 Ризики'!$F$5:$F$24,2,'В04 Ризики'!$G$5:$G$24,2)</f>
        <v/>
      </c>
      <c r="D9" s="25">
        <f>COUNTIFS('В04 Ризики'!$F$5:$F$24,3,'В04 Ризики'!$G$5:$G$24,2)</f>
        <v/>
      </c>
      <c r="E9" s="25">
        <f>COUNTIFS('В04 Ризики'!$F$5:$F$24,4,'В04 Ризики'!$G$5:$G$24,2)</f>
        <v/>
      </c>
      <c r="F9" s="26">
        <f>COUNTIFS('В04 Ризики'!$F$5:$F$24,5,'В04 Ризики'!$G$5:$G$24,2)</f>
        <v/>
      </c>
      <c r="I9" s="24" t="inlineStr">
        <is>
          <t>C = 2</t>
        </is>
      </c>
      <c r="J9" s="28">
        <f>COUNTIFS('В04 Ризики'!$O$5:$O$24,1,'В04 Ризики'!$P$5:$P$24,2)</f>
        <v/>
      </c>
      <c r="K9" s="28">
        <f>COUNTIFS('В04 Ризики'!$O$5:$O$24,2,'В04 Ризики'!$P$5:$P$24,2)</f>
        <v/>
      </c>
      <c r="L9" s="25">
        <f>COUNTIFS('В04 Ризики'!$O$5:$O$24,3,'В04 Ризики'!$P$5:$P$24,2)</f>
        <v/>
      </c>
      <c r="M9" s="25">
        <f>COUNTIFS('В04 Ризики'!$O$5:$O$24,4,'В04 Ризики'!$P$5:$P$24,2)</f>
        <v/>
      </c>
      <c r="N9" s="26">
        <f>COUNTIFS('В04 Ризики'!$O$5:$O$24,5,'В04 Ризики'!$P$5:$P$24,2)</f>
        <v/>
      </c>
    </row>
    <row r="10" ht="34" customHeight="1">
      <c r="A10" s="24" t="inlineStr">
        <is>
          <t>C = 1</t>
        </is>
      </c>
      <c r="B10" s="28">
        <f>COUNTIFS('В04 Ризики'!$F$5:$F$24,1,'В04 Ризики'!$G$5:$G$24,1)</f>
        <v/>
      </c>
      <c r="C10" s="28">
        <f>COUNTIFS('В04 Ризики'!$F$5:$F$24,2,'В04 Ризики'!$G$5:$G$24,1)</f>
        <v/>
      </c>
      <c r="D10" s="28">
        <f>COUNTIFS('В04 Ризики'!$F$5:$F$24,3,'В04 Ризики'!$G$5:$G$24,1)</f>
        <v/>
      </c>
      <c r="E10" s="28">
        <f>COUNTIFS('В04 Ризики'!$F$5:$F$24,4,'В04 Ризики'!$G$5:$G$24,1)</f>
        <v/>
      </c>
      <c r="F10" s="25">
        <f>COUNTIFS('В04 Ризики'!$F$5:$F$24,5,'В04 Ризики'!$G$5:$G$24,1)</f>
        <v/>
      </c>
      <c r="I10" s="24" t="inlineStr">
        <is>
          <t>C = 1</t>
        </is>
      </c>
      <c r="J10" s="28">
        <f>COUNTIFS('В04 Ризики'!$O$5:$O$24,1,'В04 Ризики'!$P$5:$P$24,1)</f>
        <v/>
      </c>
      <c r="K10" s="28">
        <f>COUNTIFS('В04 Ризики'!$O$5:$O$24,2,'В04 Ризики'!$P$5:$P$24,1)</f>
        <v/>
      </c>
      <c r="L10" s="28">
        <f>COUNTIFS('В04 Ризики'!$O$5:$O$24,3,'В04 Ризики'!$P$5:$P$24,1)</f>
        <v/>
      </c>
      <c r="M10" s="28">
        <f>COUNTIFS('В04 Ризики'!$O$5:$O$24,4,'В04 Ризики'!$P$5:$P$24,1)</f>
        <v/>
      </c>
      <c r="N10" s="25">
        <f>COUNTIFS('В04 Ризики'!$O$5:$O$24,5,'В04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48235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SUM('В04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SUM('В04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SUM('В04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COUNTIF('В04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SUMPRODUCT(('В04 Ризики'!J5:J24="Так")*('В04 Ризики'!R5:R24&lt;&gt;"ОК"))</f>
        <v/>
      </c>
    </row>
    <row r="13">
      <c r="A13" s="31" t="inlineStr">
        <is>
          <t>Ризики у реєстрі</t>
        </is>
      </c>
      <c r="B13" s="33">
        <f>COUNTA('В04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48235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30A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05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7030A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05</t>
        </is>
      </c>
    </row>
    <row r="2"/>
    <row r="3">
      <c r="A3" s="10" t="inlineStr">
        <is>
          <t>Номер варіанта</t>
        </is>
      </c>
      <c r="B3" s="11" t="inlineStr">
        <is>
          <t>05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погане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560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150</t>
        </is>
      </c>
    </row>
    <row r="12">
      <c r="A12" s="10" t="inlineStr">
        <is>
          <t>Резервне живлення</t>
        </is>
      </c>
      <c r="B12" s="11" t="inlineStr">
        <is>
          <t>без резерву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2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1</t>
        </is>
      </c>
    </row>
    <row r="16">
      <c r="A16" s="10" t="inlineStr">
        <is>
          <t>Особливий актив відділення</t>
        </is>
      </c>
      <c r="B16" s="11" t="inlineStr">
        <is>
          <t>Обмін файлами з головним офісом через USB-носії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7030A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IF(COUNTIF('В05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IF(COUNTIF('В05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IF(COUNTIF('В05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IF(COUNTIF('В05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IF(COUNTIF('В05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IF(COUNTIF('В05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IF(COUNTIF('В05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IF(COUNTIF('В05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IF(COUNTIF('В05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IF(COUNTIF('В05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IF(COUNTIF('В05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IF(COUNTIF('В05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IF(COUNTIF('В05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IF(COUNTIF('В05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IF(COUNTIF('В05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7030A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7030A0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n"/>
      <c r="C5" s="14" t="inlineStr">
        <is>
          <t>Фішинг</t>
        </is>
      </c>
      <c r="D5" s="14" t="n"/>
      <c r="E5" s="14" t="n">
        <v>4</v>
      </c>
      <c r="F5" s="14" t="n">
        <v>4</v>
      </c>
      <c r="G5" s="14" t="inlineStr">
        <is>
          <t>Дуже небезпечно, треба бачити</t>
        </is>
      </c>
    </row>
    <row r="6">
      <c r="A6" s="14" t="n">
        <v>2</v>
      </c>
      <c r="B6" s="14" t="inlineStr">
        <is>
          <t>Канал зв'язку з головним офісом</t>
        </is>
      </c>
      <c r="C6" s="14" t="inlineStr">
        <is>
          <t>Відмова каналу до головного офісу</t>
        </is>
      </c>
      <c r="D6" s="14" t="inlineStr">
        <is>
          <t>два канали</t>
        </is>
      </c>
      <c r="E6" s="14" t="n">
        <v>2</v>
      </c>
      <c r="F6" s="14" t="n">
        <v>3</v>
      </c>
      <c r="G6" s="14" t="inlineStr">
        <is>
          <t>оцінено за даними профілю</t>
        </is>
      </c>
    </row>
    <row r="7">
      <c r="A7" s="14" t="n">
        <v>3</v>
      </c>
      <c r="B7" s="14" t="inlineStr">
        <is>
          <t>Серверна</t>
        </is>
      </c>
      <c r="C7" s="14" t="inlineStr">
        <is>
          <t>Пожежа в серверній</t>
        </is>
      </c>
      <c r="D7" s="14" t="inlineStr">
        <is>
          <t>немає автоматичного пожежогасіння</t>
        </is>
      </c>
      <c r="E7" s="14" t="n">
        <v>5</v>
      </c>
      <c r="F7" s="14" t="n">
        <v>5</v>
      </c>
      <c r="G7" s="14" t="inlineStr">
        <is>
          <t>За останні сім років було лише один такий випадок у нашій мережі</t>
        </is>
      </c>
    </row>
    <row r="8">
      <c r="A8" s="14" t="n">
        <v>4</v>
      </c>
      <c r="B8" s="14" t="inlineStr">
        <is>
          <t>Вуличний банкомат (готівка)</t>
        </is>
      </c>
      <c r="C8" s="14" t="inlineStr">
        <is>
          <t>Крадіжка готівки з вуличного банкомата</t>
        </is>
      </c>
      <c r="D8" s="14" t="inlineStr">
        <is>
          <t>камери немає, освітлення погане</t>
        </is>
      </c>
      <c r="E8" s="14" t="n">
        <v>4</v>
      </c>
      <c r="F8" s="14" t="n">
        <v>4</v>
      </c>
      <c r="G8" s="14" t="inlineStr">
        <is>
          <t>перший з двох записів про одне й те саме</t>
        </is>
      </c>
    </row>
    <row r="9">
      <c r="A9" s="14" t="n">
        <v>5</v>
      </c>
      <c r="B9" s="14" t="inlineStr">
        <is>
          <t>Серверна й обладнання відділення</t>
        </is>
      </c>
      <c r="C9" s="14" t="inlineStr">
        <is>
          <t>Зловживання правами недобросовісним співробітником</t>
        </is>
      </c>
      <c r="D9" s="14" t="inlineStr">
        <is>
          <t>права адміністратора в кількох працівників, журнали не переглядають</t>
        </is>
      </c>
      <c r="E9" s="14" t="n">
        <v>2</v>
      </c>
      <c r="F9" s="14" t="n">
        <v>4</v>
      </c>
      <c r="G9" s="14" t="inlineStr">
        <is>
          <t>оцінено за політикою доступу</t>
        </is>
      </c>
    </row>
    <row r="10">
      <c r="A10" s="14" t="n">
        <v>6</v>
      </c>
      <c r="B10" s="14" t="inlineStr">
        <is>
          <t>Вуличний банкомат (готівка)</t>
        </is>
      </c>
      <c r="C10" s="14" t="inlineStr">
        <is>
          <t>Злам банкомата з метою вилучення готівки</t>
        </is>
      </c>
      <c r="D10" s="14" t="inlineStr">
        <is>
          <t>камери немає, освітлення погане</t>
        </is>
      </c>
      <c r="E10" s="14" t="n">
        <v>4</v>
      </c>
      <c r="F10" s="14" t="n">
        <v>4</v>
      </c>
      <c r="G10" s="14" t="inlineStr">
        <is>
          <t>другий запис, інші слова</t>
        </is>
      </c>
    </row>
    <row r="11">
      <c r="A11" s="14" t="n">
        <v>7</v>
      </c>
      <c r="B11" s="14" t="inlineStr">
        <is>
          <t>Вуличний банкомат (картки клієнтів)</t>
        </is>
      </c>
      <c r="C11" s="14" t="inlineStr">
        <is>
          <t>Встановлення скімера й масове копіювання карток</t>
        </is>
      </c>
      <c r="D11" s="14" t="inlineStr">
        <is>
          <t>камери немає, освітлення погане</t>
        </is>
      </c>
      <c r="E11" s="14" t="n">
        <v>4</v>
      </c>
      <c r="F11" s="14" t="n">
        <v>4</v>
      </c>
      <c r="G11" s="14" t="inlineStr">
        <is>
          <t>оцінено за даними профілю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7030A0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IF(L5="",0,IFERROR(IF(ISNUMBER(SEARCH(E5,INDEX('В05 Каталог'!$D$5:$D$19,MATCH(L5,'В05 Каталог'!$B$5:$B$19,0)))),INDEX('В05 Каталог'!$E$5:$E$19,MATCH(L5,'В05 Каталог'!$B$5:$B$19,0)),0),0))</f>
        <v/>
      </c>
      <c r="N5" s="23">
        <f>IF(L5="",0,IFERROR(IF(ISNUMBER(SEARCH(E5,INDEX('В05 Каталог'!$D$5:$D$19,MATCH(L5,'В05 Каталог'!$B$5:$B$19,0)))),INDEX('В05 Каталог'!$F$5:$F$19,MATCH(L5,'В05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категорію",IF(AND(L5&lt;&gt;"",INDEX('В05 Каталог'!$H$5:$H$19,MATCH(L5,'В05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IF(L6="",0,IFERROR(IF(ISNUMBER(SEARCH(E6,INDEX('В05 Каталог'!$D$5:$D$19,MATCH(L6,'В05 Каталог'!$B$5:$B$19,0)))),INDEX('В05 Каталог'!$E$5:$E$19,MATCH(L6,'В05 Каталог'!$B$5:$B$19,0)),0),0))</f>
        <v/>
      </c>
      <c r="N6" s="23">
        <f>IF(L6="",0,IFERROR(IF(ISNUMBER(SEARCH(E6,INDEX('В05 Каталог'!$D$5:$D$19,MATCH(L6,'В05 Каталог'!$B$5:$B$19,0)))),INDEX('В05 Каталог'!$F$5:$F$19,MATCH(L6,'В05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категорію",IF(AND(L6&lt;&gt;"",INDEX('В05 Каталог'!$H$5:$H$19,MATCH(L6,'В05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IF(L7="",0,IFERROR(IF(ISNUMBER(SEARCH(E7,INDEX('В05 Каталог'!$D$5:$D$19,MATCH(L7,'В05 Каталог'!$B$5:$B$19,0)))),INDEX('В05 Каталог'!$E$5:$E$19,MATCH(L7,'В05 Каталог'!$B$5:$B$19,0)),0),0))</f>
        <v/>
      </c>
      <c r="N7" s="23">
        <f>IF(L7="",0,IFERROR(IF(ISNUMBER(SEARCH(E7,INDEX('В05 Каталог'!$D$5:$D$19,MATCH(L7,'В05 Каталог'!$B$5:$B$19,0)))),INDEX('В05 Каталог'!$F$5:$F$19,MATCH(L7,'В05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категорію",IF(AND(L7&lt;&gt;"",INDEX('В05 Каталог'!$H$5:$H$19,MATCH(L7,'В05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IF(L8="",0,IFERROR(IF(ISNUMBER(SEARCH(E8,INDEX('В05 Каталог'!$D$5:$D$19,MATCH(L8,'В05 Каталог'!$B$5:$B$19,0)))),INDEX('В05 Каталог'!$E$5:$E$19,MATCH(L8,'В05 Каталог'!$B$5:$B$19,0)),0),0))</f>
        <v/>
      </c>
      <c r="N8" s="23">
        <f>IF(L8="",0,IFERROR(IF(ISNUMBER(SEARCH(E8,INDEX('В05 Каталог'!$D$5:$D$19,MATCH(L8,'В05 Каталог'!$B$5:$B$19,0)))),INDEX('В05 Каталог'!$F$5:$F$19,MATCH(L8,'В05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категорію",IF(AND(L8&lt;&gt;"",INDEX('В05 Каталог'!$H$5:$H$19,MATCH(L8,'В05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IF(L9="",0,IFERROR(IF(ISNUMBER(SEARCH(E9,INDEX('В05 Каталог'!$D$5:$D$19,MATCH(L9,'В05 Каталог'!$B$5:$B$19,0)))),INDEX('В05 Каталог'!$E$5:$E$19,MATCH(L9,'В05 Каталог'!$B$5:$B$19,0)),0),0))</f>
        <v/>
      </c>
      <c r="N9" s="23">
        <f>IF(L9="",0,IFERROR(IF(ISNUMBER(SEARCH(E9,INDEX('В05 Каталог'!$D$5:$D$19,MATCH(L9,'В05 Каталог'!$B$5:$B$19,0)))),INDEX('В05 Каталог'!$F$5:$F$19,MATCH(L9,'В05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категорію",IF(AND(L9&lt;&gt;"",INDEX('В05 Каталог'!$H$5:$H$19,MATCH(L9,'В05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IF(L10="",0,IFERROR(IF(ISNUMBER(SEARCH(E10,INDEX('В05 Каталог'!$D$5:$D$19,MATCH(L10,'В05 Каталог'!$B$5:$B$19,0)))),INDEX('В05 Каталог'!$E$5:$E$19,MATCH(L10,'В05 Каталог'!$B$5:$B$19,0)),0),0))</f>
        <v/>
      </c>
      <c r="N10" s="23">
        <f>IF(L10="",0,IFERROR(IF(ISNUMBER(SEARCH(E10,INDEX('В05 Каталог'!$D$5:$D$19,MATCH(L10,'В05 Каталог'!$B$5:$B$19,0)))),INDEX('В05 Каталог'!$F$5:$F$19,MATCH(L10,'В05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категорію",IF(AND(L10&lt;&gt;"",INDEX('В05 Каталог'!$H$5:$H$19,MATCH(L10,'В05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IF(L11="",0,IFERROR(IF(ISNUMBER(SEARCH(E11,INDEX('В05 Каталог'!$D$5:$D$19,MATCH(L11,'В05 Каталог'!$B$5:$B$19,0)))),INDEX('В05 Каталог'!$E$5:$E$19,MATCH(L11,'В05 Каталог'!$B$5:$B$19,0)),0),0))</f>
        <v/>
      </c>
      <c r="N11" s="23">
        <f>IF(L11="",0,IFERROR(IF(ISNUMBER(SEARCH(E11,INDEX('В05 Каталог'!$D$5:$D$19,MATCH(L11,'В05 Каталог'!$B$5:$B$19,0)))),INDEX('В05 Каталог'!$F$5:$F$19,MATCH(L11,'В05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категорію",IF(AND(L11&lt;&gt;"",INDEX('В05 Каталог'!$H$5:$H$19,MATCH(L11,'В05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IF(L12="",0,IFERROR(IF(ISNUMBER(SEARCH(E12,INDEX('В05 Каталог'!$D$5:$D$19,MATCH(L12,'В05 Каталог'!$B$5:$B$19,0)))),INDEX('В05 Каталог'!$E$5:$E$19,MATCH(L12,'В05 Каталог'!$B$5:$B$19,0)),0),0))</f>
        <v/>
      </c>
      <c r="N12" s="23">
        <f>IF(L12="",0,IFERROR(IF(ISNUMBER(SEARCH(E12,INDEX('В05 Каталог'!$D$5:$D$19,MATCH(L12,'В05 Каталог'!$B$5:$B$19,0)))),INDEX('В05 Каталог'!$F$5:$F$19,MATCH(L12,'В05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категорію",IF(AND(L12&lt;&gt;"",INDEX('В05 Каталог'!$H$5:$H$19,MATCH(L12,'В05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IF(L13="",0,IFERROR(IF(ISNUMBER(SEARCH(E13,INDEX('В05 Каталог'!$D$5:$D$19,MATCH(L13,'В05 Каталог'!$B$5:$B$19,0)))),INDEX('В05 Каталог'!$E$5:$E$19,MATCH(L13,'В05 Каталог'!$B$5:$B$19,0)),0),0))</f>
        <v/>
      </c>
      <c r="N13" s="23">
        <f>IF(L13="",0,IFERROR(IF(ISNUMBER(SEARCH(E13,INDEX('В05 Каталог'!$D$5:$D$19,MATCH(L13,'В05 Каталог'!$B$5:$B$19,0)))),INDEX('В05 Каталог'!$F$5:$F$19,MATCH(L13,'В05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категорію",IF(AND(L13&lt;&gt;"",INDEX('В05 Каталог'!$H$5:$H$19,MATCH(L13,'В05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IF(L14="",0,IFERROR(IF(ISNUMBER(SEARCH(E14,INDEX('В05 Каталог'!$D$5:$D$19,MATCH(L14,'В05 Каталог'!$B$5:$B$19,0)))),INDEX('В05 Каталог'!$E$5:$E$19,MATCH(L14,'В05 Каталог'!$B$5:$B$19,0)),0),0))</f>
        <v/>
      </c>
      <c r="N14" s="23">
        <f>IF(L14="",0,IFERROR(IF(ISNUMBER(SEARCH(E14,INDEX('В05 Каталог'!$D$5:$D$19,MATCH(L14,'В05 Каталог'!$B$5:$B$19,0)))),INDEX('В05 Каталог'!$F$5:$F$19,MATCH(L14,'В05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категорію",IF(AND(L14&lt;&gt;"",INDEX('В05 Каталог'!$H$5:$H$19,MATCH(L14,'В05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IF(L15="",0,IFERROR(IF(ISNUMBER(SEARCH(E15,INDEX('В05 Каталог'!$D$5:$D$19,MATCH(L15,'В05 Каталог'!$B$5:$B$19,0)))),INDEX('В05 Каталог'!$E$5:$E$19,MATCH(L15,'В05 Каталог'!$B$5:$B$19,0)),0),0))</f>
        <v/>
      </c>
      <c r="N15" s="23">
        <f>IF(L15="",0,IFERROR(IF(ISNUMBER(SEARCH(E15,INDEX('В05 Каталог'!$D$5:$D$19,MATCH(L15,'В05 Каталог'!$B$5:$B$19,0)))),INDEX('В05 Каталог'!$F$5:$F$19,MATCH(L15,'В05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категорію",IF(AND(L15&lt;&gt;"",INDEX('В05 Каталог'!$H$5:$H$19,MATCH(L15,'В05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IF(L16="",0,IFERROR(IF(ISNUMBER(SEARCH(E16,INDEX('В05 Каталог'!$D$5:$D$19,MATCH(L16,'В05 Каталог'!$B$5:$B$19,0)))),INDEX('В05 Каталог'!$E$5:$E$19,MATCH(L16,'В05 Каталог'!$B$5:$B$19,0)),0),0))</f>
        <v/>
      </c>
      <c r="N16" s="23">
        <f>IF(L16="",0,IFERROR(IF(ISNUMBER(SEARCH(E16,INDEX('В05 Каталог'!$D$5:$D$19,MATCH(L16,'В05 Каталог'!$B$5:$B$19,0)))),INDEX('В05 Каталог'!$F$5:$F$19,MATCH(L16,'В05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категорію",IF(AND(L16&lt;&gt;"",INDEX('В05 Каталог'!$H$5:$H$19,MATCH(L16,'В05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IF(L17="",0,IFERROR(IF(ISNUMBER(SEARCH(E17,INDEX('В05 Каталог'!$D$5:$D$19,MATCH(L17,'В05 Каталог'!$B$5:$B$19,0)))),INDEX('В05 Каталог'!$E$5:$E$19,MATCH(L17,'В05 Каталог'!$B$5:$B$19,0)),0),0))</f>
        <v/>
      </c>
      <c r="N17" s="23">
        <f>IF(L17="",0,IFERROR(IF(ISNUMBER(SEARCH(E17,INDEX('В05 Каталог'!$D$5:$D$19,MATCH(L17,'В05 Каталог'!$B$5:$B$19,0)))),INDEX('В05 Каталог'!$F$5:$F$19,MATCH(L17,'В05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категорію",IF(AND(L17&lt;&gt;"",INDEX('В05 Каталог'!$H$5:$H$19,MATCH(L17,'В05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IF(L18="",0,IFERROR(IF(ISNUMBER(SEARCH(E18,INDEX('В05 Каталог'!$D$5:$D$19,MATCH(L18,'В05 Каталог'!$B$5:$B$19,0)))),INDEX('В05 Каталог'!$E$5:$E$19,MATCH(L18,'В05 Каталог'!$B$5:$B$19,0)),0),0))</f>
        <v/>
      </c>
      <c r="N18" s="23">
        <f>IF(L18="",0,IFERROR(IF(ISNUMBER(SEARCH(E18,INDEX('В05 Каталог'!$D$5:$D$19,MATCH(L18,'В05 Каталог'!$B$5:$B$19,0)))),INDEX('В05 Каталог'!$F$5:$F$19,MATCH(L18,'В05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категорію",IF(AND(L18&lt;&gt;"",INDEX('В05 Каталог'!$H$5:$H$19,MATCH(L18,'В05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IF(L19="",0,IFERROR(IF(ISNUMBER(SEARCH(E19,INDEX('В05 Каталог'!$D$5:$D$19,MATCH(L19,'В05 Каталог'!$B$5:$B$19,0)))),INDEX('В05 Каталог'!$E$5:$E$19,MATCH(L19,'В05 Каталог'!$B$5:$B$19,0)),0),0))</f>
        <v/>
      </c>
      <c r="N19" s="23">
        <f>IF(L19="",0,IFERROR(IF(ISNUMBER(SEARCH(E19,INDEX('В05 Каталог'!$D$5:$D$19,MATCH(L19,'В05 Каталог'!$B$5:$B$19,0)))),INDEX('В05 Каталог'!$F$5:$F$19,MATCH(L19,'В05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категорію",IF(AND(L19&lt;&gt;"",INDEX('В05 Каталог'!$H$5:$H$19,MATCH(L19,'В05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IF(L20="",0,IFERROR(IF(ISNUMBER(SEARCH(E20,INDEX('В05 Каталог'!$D$5:$D$19,MATCH(L20,'В05 Каталог'!$B$5:$B$19,0)))),INDEX('В05 Каталог'!$E$5:$E$19,MATCH(L20,'В05 Каталог'!$B$5:$B$19,0)),0),0))</f>
        <v/>
      </c>
      <c r="N20" s="23">
        <f>IF(L20="",0,IFERROR(IF(ISNUMBER(SEARCH(E20,INDEX('В05 Каталог'!$D$5:$D$19,MATCH(L20,'В05 Каталог'!$B$5:$B$19,0)))),INDEX('В05 Каталог'!$F$5:$F$19,MATCH(L20,'В05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категорію",IF(AND(L20&lt;&gt;"",INDEX('В05 Каталог'!$H$5:$H$19,MATCH(L20,'В05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IF(L21="",0,IFERROR(IF(ISNUMBER(SEARCH(E21,INDEX('В05 Каталог'!$D$5:$D$19,MATCH(L21,'В05 Каталог'!$B$5:$B$19,0)))),INDEX('В05 Каталог'!$E$5:$E$19,MATCH(L21,'В05 Каталог'!$B$5:$B$19,0)),0),0))</f>
        <v/>
      </c>
      <c r="N21" s="23">
        <f>IF(L21="",0,IFERROR(IF(ISNUMBER(SEARCH(E21,INDEX('В05 Каталог'!$D$5:$D$19,MATCH(L21,'В05 Каталог'!$B$5:$B$19,0)))),INDEX('В05 Каталог'!$F$5:$F$19,MATCH(L21,'В05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категорію",IF(AND(L21&lt;&gt;"",INDEX('В05 Каталог'!$H$5:$H$19,MATCH(L21,'В05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IF(L22="",0,IFERROR(IF(ISNUMBER(SEARCH(E22,INDEX('В05 Каталог'!$D$5:$D$19,MATCH(L22,'В05 Каталог'!$B$5:$B$19,0)))),INDEX('В05 Каталог'!$E$5:$E$19,MATCH(L22,'В05 Каталог'!$B$5:$B$19,0)),0),0))</f>
        <v/>
      </c>
      <c r="N22" s="23">
        <f>IF(L22="",0,IFERROR(IF(ISNUMBER(SEARCH(E22,INDEX('В05 Каталог'!$D$5:$D$19,MATCH(L22,'В05 Каталог'!$B$5:$B$19,0)))),INDEX('В05 Каталог'!$F$5:$F$19,MATCH(L22,'В05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категорію",IF(AND(L22&lt;&gt;"",INDEX('В05 Каталог'!$H$5:$H$19,MATCH(L22,'В05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IF(L23="",0,IFERROR(IF(ISNUMBER(SEARCH(E23,INDEX('В05 Каталог'!$D$5:$D$19,MATCH(L23,'В05 Каталог'!$B$5:$B$19,0)))),INDEX('В05 Каталог'!$E$5:$E$19,MATCH(L23,'В05 Каталог'!$B$5:$B$19,0)),0),0))</f>
        <v/>
      </c>
      <c r="N23" s="23">
        <f>IF(L23="",0,IFERROR(IF(ISNUMBER(SEARCH(E23,INDEX('В05 Каталог'!$D$5:$D$19,MATCH(L23,'В05 Каталог'!$B$5:$B$19,0)))),INDEX('В05 Каталог'!$F$5:$F$19,MATCH(L23,'В05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категорію",IF(AND(L23&lt;&gt;"",INDEX('В05 Каталог'!$H$5:$H$19,MATCH(L23,'В05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IF(L24="",0,IFERROR(IF(ISNUMBER(SEARCH(E24,INDEX('В05 Каталог'!$D$5:$D$19,MATCH(L24,'В05 Каталог'!$B$5:$B$19,0)))),INDEX('В05 Каталог'!$E$5:$E$19,MATCH(L24,'В05 Каталог'!$B$5:$B$19,0)),0),0))</f>
        <v/>
      </c>
      <c r="N24" s="23">
        <f>IF(L24="",0,IFERROR(IF(ISNUMBER(SEARCH(E24,INDEX('В05 Каталог'!$D$5:$D$19,MATCH(L24,'В05 Каталог'!$B$5:$B$19,0)))),INDEX('В05 Каталог'!$F$5:$F$19,MATCH(L24,'В05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категорію",IF(AND(L24&lt;&gt;"",INDEX('В05 Каталог'!$H$5:$H$19,MATCH(L24,'В05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='В05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='В05 Каталог'!$B$5:$B$19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7030A0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COUNTIFS('В05 Ризики'!$F$5:$F$24,1,'В05 Ризики'!$G$5:$G$24,5)</f>
        <v/>
      </c>
      <c r="C6" s="26">
        <f>COUNTIFS('В05 Ризики'!$F$5:$F$24,2,'В05 Ризики'!$G$5:$G$24,5)</f>
        <v/>
      </c>
      <c r="D6" s="26">
        <f>COUNTIFS('В05 Ризики'!$F$5:$F$24,3,'В05 Ризики'!$G$5:$G$24,5)</f>
        <v/>
      </c>
      <c r="E6" s="27">
        <f>COUNTIFS('В05 Ризики'!$F$5:$F$24,4,'В05 Ризики'!$G$5:$G$24,5)</f>
        <v/>
      </c>
      <c r="F6" s="27">
        <f>COUNTIFS('В05 Ризики'!$F$5:$F$24,5,'В05 Ризики'!$G$5:$G$24,5)</f>
        <v/>
      </c>
      <c r="I6" s="24" t="inlineStr">
        <is>
          <t>C = 5</t>
        </is>
      </c>
      <c r="J6" s="25">
        <f>COUNTIFS('В05 Ризики'!$O$5:$O$24,1,'В05 Ризики'!$P$5:$P$24,5)</f>
        <v/>
      </c>
      <c r="K6" s="26">
        <f>COUNTIFS('В05 Ризики'!$O$5:$O$24,2,'В05 Ризики'!$P$5:$P$24,5)</f>
        <v/>
      </c>
      <c r="L6" s="26">
        <f>COUNTIFS('В05 Ризики'!$O$5:$O$24,3,'В05 Ризики'!$P$5:$P$24,5)</f>
        <v/>
      </c>
      <c r="M6" s="27">
        <f>COUNTIFS('В05 Ризики'!$O$5:$O$24,4,'В05 Ризики'!$P$5:$P$24,5)</f>
        <v/>
      </c>
      <c r="N6" s="27">
        <f>COUNTIFS('В05 Ризики'!$O$5:$O$24,5,'В05 Ризики'!$P$5:$P$24,5)</f>
        <v/>
      </c>
    </row>
    <row r="7" ht="34" customHeight="1">
      <c r="A7" s="24" t="inlineStr">
        <is>
          <t>C = 4</t>
        </is>
      </c>
      <c r="B7" s="28">
        <f>COUNTIFS('В05 Ризики'!$F$5:$F$24,1,'В05 Ризики'!$G$5:$G$24,4)</f>
        <v/>
      </c>
      <c r="C7" s="25">
        <f>COUNTIFS('В05 Ризики'!$F$5:$F$24,2,'В05 Ризики'!$G$5:$G$24,4)</f>
        <v/>
      </c>
      <c r="D7" s="26">
        <f>COUNTIFS('В05 Ризики'!$F$5:$F$24,3,'В05 Ризики'!$G$5:$G$24,4)</f>
        <v/>
      </c>
      <c r="E7" s="26">
        <f>COUNTIFS('В05 Ризики'!$F$5:$F$24,4,'В05 Ризики'!$G$5:$G$24,4)</f>
        <v/>
      </c>
      <c r="F7" s="27">
        <f>COUNTIFS('В05 Ризики'!$F$5:$F$24,5,'В05 Ризики'!$G$5:$G$24,4)</f>
        <v/>
      </c>
      <c r="I7" s="24" t="inlineStr">
        <is>
          <t>C = 4</t>
        </is>
      </c>
      <c r="J7" s="28">
        <f>COUNTIFS('В05 Ризики'!$O$5:$O$24,1,'В05 Ризики'!$P$5:$P$24,4)</f>
        <v/>
      </c>
      <c r="K7" s="25">
        <f>COUNTIFS('В05 Ризики'!$O$5:$O$24,2,'В05 Ризики'!$P$5:$P$24,4)</f>
        <v/>
      </c>
      <c r="L7" s="26">
        <f>COUNTIFS('В05 Ризики'!$O$5:$O$24,3,'В05 Ризики'!$P$5:$P$24,4)</f>
        <v/>
      </c>
      <c r="M7" s="26">
        <f>COUNTIFS('В05 Ризики'!$O$5:$O$24,4,'В05 Ризики'!$P$5:$P$24,4)</f>
        <v/>
      </c>
      <c r="N7" s="27">
        <f>COUNTIFS('В05 Ризики'!$O$5:$O$24,5,'В05 Ризики'!$P$5:$P$24,4)</f>
        <v/>
      </c>
    </row>
    <row r="8" ht="34" customHeight="1">
      <c r="A8" s="24" t="inlineStr">
        <is>
          <t>C = 3</t>
        </is>
      </c>
      <c r="B8" s="28">
        <f>COUNTIFS('В05 Ризики'!$F$5:$F$24,1,'В05 Ризики'!$G$5:$G$24,3)</f>
        <v/>
      </c>
      <c r="C8" s="25">
        <f>COUNTIFS('В05 Ризики'!$F$5:$F$24,2,'В05 Ризики'!$G$5:$G$24,3)</f>
        <v/>
      </c>
      <c r="D8" s="25">
        <f>COUNTIFS('В05 Ризики'!$F$5:$F$24,3,'В05 Ризики'!$G$5:$G$24,3)</f>
        <v/>
      </c>
      <c r="E8" s="26">
        <f>COUNTIFS('В05 Ризики'!$F$5:$F$24,4,'В05 Ризики'!$G$5:$G$24,3)</f>
        <v/>
      </c>
      <c r="F8" s="26">
        <f>COUNTIFS('В05 Ризики'!$F$5:$F$24,5,'В05 Ризики'!$G$5:$G$24,3)</f>
        <v/>
      </c>
      <c r="I8" s="24" t="inlineStr">
        <is>
          <t>C = 3</t>
        </is>
      </c>
      <c r="J8" s="28">
        <f>COUNTIFS('В05 Ризики'!$O$5:$O$24,1,'В05 Ризики'!$P$5:$P$24,3)</f>
        <v/>
      </c>
      <c r="K8" s="25">
        <f>COUNTIFS('В05 Ризики'!$O$5:$O$24,2,'В05 Ризики'!$P$5:$P$24,3)</f>
        <v/>
      </c>
      <c r="L8" s="25">
        <f>COUNTIFS('В05 Ризики'!$O$5:$O$24,3,'В05 Ризики'!$P$5:$P$24,3)</f>
        <v/>
      </c>
      <c r="M8" s="26">
        <f>COUNTIFS('В05 Ризики'!$O$5:$O$24,4,'В05 Ризики'!$P$5:$P$24,3)</f>
        <v/>
      </c>
      <c r="N8" s="26">
        <f>COUNTIFS('В05 Ризики'!$O$5:$O$24,5,'В05 Ризики'!$P$5:$P$24,3)</f>
        <v/>
      </c>
    </row>
    <row r="9" ht="34" customHeight="1">
      <c r="A9" s="24" t="inlineStr">
        <is>
          <t>C = 2</t>
        </is>
      </c>
      <c r="B9" s="28">
        <f>COUNTIFS('В05 Ризики'!$F$5:$F$24,1,'В05 Ризики'!$G$5:$G$24,2)</f>
        <v/>
      </c>
      <c r="C9" s="28">
        <f>COUNTIFS('В05 Ризики'!$F$5:$F$24,2,'В05 Ризики'!$G$5:$G$24,2)</f>
        <v/>
      </c>
      <c r="D9" s="25">
        <f>COUNTIFS('В05 Ризики'!$F$5:$F$24,3,'В05 Ризики'!$G$5:$G$24,2)</f>
        <v/>
      </c>
      <c r="E9" s="25">
        <f>COUNTIFS('В05 Ризики'!$F$5:$F$24,4,'В05 Ризики'!$G$5:$G$24,2)</f>
        <v/>
      </c>
      <c r="F9" s="26">
        <f>COUNTIFS('В05 Ризики'!$F$5:$F$24,5,'В05 Ризики'!$G$5:$G$24,2)</f>
        <v/>
      </c>
      <c r="I9" s="24" t="inlineStr">
        <is>
          <t>C = 2</t>
        </is>
      </c>
      <c r="J9" s="28">
        <f>COUNTIFS('В05 Ризики'!$O$5:$O$24,1,'В05 Ризики'!$P$5:$P$24,2)</f>
        <v/>
      </c>
      <c r="K9" s="28">
        <f>COUNTIFS('В05 Ризики'!$O$5:$O$24,2,'В05 Ризики'!$P$5:$P$24,2)</f>
        <v/>
      </c>
      <c r="L9" s="25">
        <f>COUNTIFS('В05 Ризики'!$O$5:$O$24,3,'В05 Ризики'!$P$5:$P$24,2)</f>
        <v/>
      </c>
      <c r="M9" s="25">
        <f>COUNTIFS('В05 Ризики'!$O$5:$O$24,4,'В05 Ризики'!$P$5:$P$24,2)</f>
        <v/>
      </c>
      <c r="N9" s="26">
        <f>COUNTIFS('В05 Ризики'!$O$5:$O$24,5,'В05 Ризики'!$P$5:$P$24,2)</f>
        <v/>
      </c>
    </row>
    <row r="10" ht="34" customHeight="1">
      <c r="A10" s="24" t="inlineStr">
        <is>
          <t>C = 1</t>
        </is>
      </c>
      <c r="B10" s="28">
        <f>COUNTIFS('В05 Ризики'!$F$5:$F$24,1,'В05 Ризики'!$G$5:$G$24,1)</f>
        <v/>
      </c>
      <c r="C10" s="28">
        <f>COUNTIFS('В05 Ризики'!$F$5:$F$24,2,'В05 Ризики'!$G$5:$G$24,1)</f>
        <v/>
      </c>
      <c r="D10" s="28">
        <f>COUNTIFS('В05 Ризики'!$F$5:$F$24,3,'В05 Ризики'!$G$5:$G$24,1)</f>
        <v/>
      </c>
      <c r="E10" s="28">
        <f>COUNTIFS('В05 Ризики'!$F$5:$F$24,4,'В05 Ризики'!$G$5:$G$24,1)</f>
        <v/>
      </c>
      <c r="F10" s="25">
        <f>COUNTIFS('В05 Ризики'!$F$5:$F$24,5,'В05 Ризики'!$G$5:$G$24,1)</f>
        <v/>
      </c>
      <c r="I10" s="24" t="inlineStr">
        <is>
          <t>C = 1</t>
        </is>
      </c>
      <c r="J10" s="28">
        <f>COUNTIFS('В05 Ризики'!$O$5:$O$24,1,'В05 Ризики'!$P$5:$P$24,1)</f>
        <v/>
      </c>
      <c r="K10" s="28">
        <f>COUNTIFS('В05 Ризики'!$O$5:$O$24,2,'В05 Ризики'!$P$5:$P$24,1)</f>
        <v/>
      </c>
      <c r="L10" s="28">
        <f>COUNTIFS('В05 Ризики'!$O$5:$O$24,3,'В05 Ризики'!$P$5:$P$24,1)</f>
        <v/>
      </c>
      <c r="M10" s="28">
        <f>COUNTIFS('В05 Ризики'!$O$5:$O$24,4,'В05 Ризики'!$P$5:$P$24,1)</f>
        <v/>
      </c>
      <c r="N10" s="25">
        <f>COUNTIFS('В05 Ризики'!$O$5:$O$24,5,'В05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7030A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SUM('В05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SUM('В05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SUM('В05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COUNTIF('В05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SUMPRODUCT(('В05 Ризики'!J5:J24="Так")*('В05 Ризики'!R5:R24&lt;&gt;"ОК"))</f>
        <v/>
      </c>
    </row>
    <row r="13">
      <c r="A13" s="31" t="inlineStr">
        <is>
          <t>Ризики у реєстрі</t>
        </is>
      </c>
      <c r="B13" s="33">
        <f>COUNTA('В05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BF8F0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06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BF8F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06</t>
        </is>
      </c>
    </row>
    <row r="2"/>
    <row r="3">
      <c r="A3" s="10" t="inlineStr">
        <is>
          <t>Номер варіанта</t>
        </is>
      </c>
      <c r="B3" s="11" t="inlineStr">
        <is>
          <t>06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300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260</t>
        </is>
      </c>
    </row>
    <row r="12">
      <c r="A12" s="10" t="inlineStr">
        <is>
          <t>Резервне живлення</t>
        </is>
      </c>
      <c r="B12" s="11" t="inlineStr">
        <is>
          <t>лише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4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один провайдер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0</t>
        </is>
      </c>
    </row>
    <row r="16">
      <c r="A16" s="10" t="inlineStr">
        <is>
          <t>Особливий актив відділення</t>
        </is>
      </c>
      <c r="B16" s="11" t="inlineStr">
        <is>
          <t>Термінал миттєвого випуску платіжних карток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BF8F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IF(COUNTIF('В06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IF(COUNTIF('В06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IF(COUNTIF('В06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IF(COUNTIF('В06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IF(COUNTIF('В06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IF(COUNTIF('В06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IF(COUNTIF('В06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IF(COUNTIF('В06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IF(COUNTIF('В06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IF(COUNTIF('В06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IF(COUNTIF('В06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IF(COUNTIF('В06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IF(COUNTIF('В06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IF(COUNTIF('В06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IF(COUNTIF('В06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BF8F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BF8F00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Вуличний банкомат (готівка)</t>
        </is>
      </c>
      <c r="C5" s="14" t="inlineStr">
        <is>
          <t>Крадіжка готівки з вуличного банкомата</t>
        </is>
      </c>
      <c r="D5" s="14" t="inlineStr">
        <is>
          <t>камера є, освітлення добре</t>
        </is>
      </c>
      <c r="E5" s="14" t="n">
        <v>4</v>
      </c>
      <c r="F5" s="14" t="n">
        <v>4</v>
      </c>
      <c r="G5" s="14" t="inlineStr">
        <is>
          <t>перший з двох записів про одне й те саме</t>
        </is>
      </c>
    </row>
    <row r="6">
      <c r="A6" s="14" t="n">
        <v>2</v>
      </c>
      <c r="B6" s="14" t="inlineStr">
        <is>
          <t>Серверна й обладнання відділення</t>
        </is>
      </c>
      <c r="C6" s="14" t="inlineStr">
        <is>
          <t>Зловживання правами недобросовісним співробітником</t>
        </is>
      </c>
      <c r="D6" s="14" t="inlineStr">
        <is>
          <t>права адміністратора в кількох працівників, журнали не переглядають</t>
        </is>
      </c>
      <c r="E6" s="14" t="n">
        <v>2</v>
      </c>
      <c r="F6" s="14" t="n">
        <v>4</v>
      </c>
      <c r="G6" s="14" t="inlineStr">
        <is>
          <t>оцінено за політикою доступу</t>
        </is>
      </c>
    </row>
    <row r="7">
      <c r="A7" s="14" t="n">
        <v>3</v>
      </c>
      <c r="B7" s="14" t="inlineStr">
        <is>
          <t>Вуличний банкомат (готівка)</t>
        </is>
      </c>
      <c r="C7" s="14" t="inlineStr">
        <is>
          <t>Злам банкомата з метою вилучення готівки</t>
        </is>
      </c>
      <c r="D7" s="14" t="inlineStr">
        <is>
          <t>камера є, освітлення добре</t>
        </is>
      </c>
      <c r="E7" s="14" t="n">
        <v>4</v>
      </c>
      <c r="F7" s="14" t="n">
        <v>4</v>
      </c>
      <c r="G7" s="14" t="inlineStr">
        <is>
          <t>другий запис, інші слова</t>
        </is>
      </c>
    </row>
    <row r="8">
      <c r="A8" s="14" t="n">
        <v>4</v>
      </c>
      <c r="B8" s="14" t="inlineStr">
        <is>
          <t>Вуличний банкомат (картки клієнтів)</t>
        </is>
      </c>
      <c r="C8" s="14" t="inlineStr">
        <is>
          <t>Встановлення скімера й масове копіювання карток</t>
        </is>
      </c>
      <c r="D8" s="14" t="inlineStr">
        <is>
          <t>камера є, освітлення добре</t>
        </is>
      </c>
      <c r="E8" s="14" t="n">
        <v>3</v>
      </c>
      <c r="F8" s="14" t="n">
        <v>4</v>
      </c>
      <c r="G8" s="14" t="inlineStr">
        <is>
          <t>оцінено за даними профілю</t>
        </is>
      </c>
    </row>
    <row r="9">
      <c r="A9" s="14" t="n">
        <v>5</v>
      </c>
      <c r="B9" s="14" t="n"/>
      <c r="C9" s="14" t="inlineStr">
        <is>
          <t>Фішинг</t>
        </is>
      </c>
      <c r="D9" s="14" t="n"/>
      <c r="E9" s="14" t="n">
        <v>4</v>
      </c>
      <c r="F9" s="14" t="n">
        <v>4</v>
      </c>
      <c r="G9" s="14" t="inlineStr">
        <is>
          <t>Дуже небезпечно, треба бачити</t>
        </is>
      </c>
    </row>
    <row r="10">
      <c r="A10" s="14" t="n">
        <v>6</v>
      </c>
      <c r="B10" s="14" t="inlineStr">
        <is>
          <t>Канал зв'язку з головним офісом</t>
        </is>
      </c>
      <c r="C10" s="14" t="inlineStr">
        <is>
          <t>Відмова каналу до головного офісу</t>
        </is>
      </c>
      <c r="D10" s="14" t="inlineStr">
        <is>
          <t>один провайдер</t>
        </is>
      </c>
      <c r="E10" s="14" t="n">
        <v>3</v>
      </c>
      <c r="F10" s="14" t="n">
        <v>4</v>
      </c>
      <c r="G10" s="14" t="inlineStr">
        <is>
          <t>оцінено за даними профілю</t>
        </is>
      </c>
    </row>
    <row r="11">
      <c r="A11" s="14" t="n">
        <v>7</v>
      </c>
      <c r="B11" s="14" t="inlineStr">
        <is>
          <t>Серверна</t>
        </is>
      </c>
      <c r="C11" s="14" t="inlineStr">
        <is>
          <t>Пожежа в серверній</t>
        </is>
      </c>
      <c r="D11" s="14" t="inlineStr">
        <is>
          <t>немає автоматичного пожежогасіння</t>
        </is>
      </c>
      <c r="E11" s="14" t="n">
        <v>5</v>
      </c>
      <c r="F11" s="14" t="n">
        <v>5</v>
      </c>
      <c r="G11" s="14" t="inlineStr">
        <is>
          <t>За останні сім років було лише один такий випадок у нашій мережі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BF8F00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IF(L5="",0,IFERROR(IF(ISNUMBER(SEARCH(E5,INDEX('В06 Каталог'!$D$5:$D$19,MATCH(L5,'В06 Каталог'!$B$5:$B$19,0)))),INDEX('В06 Каталог'!$E$5:$E$19,MATCH(L5,'В06 Каталог'!$B$5:$B$19,0)),0),0))</f>
        <v/>
      </c>
      <c r="N5" s="23">
        <f>IF(L5="",0,IFERROR(IF(ISNUMBER(SEARCH(E5,INDEX('В06 Каталог'!$D$5:$D$19,MATCH(L5,'В06 Каталог'!$B$5:$B$19,0)))),INDEX('В06 Каталог'!$F$5:$F$19,MATCH(L5,'В06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категорію",IF(AND(L5&lt;&gt;"",INDEX('В06 Каталог'!$H$5:$H$19,MATCH(L5,'В06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IF(L6="",0,IFERROR(IF(ISNUMBER(SEARCH(E6,INDEX('В06 Каталог'!$D$5:$D$19,MATCH(L6,'В06 Каталог'!$B$5:$B$19,0)))),INDEX('В06 Каталог'!$E$5:$E$19,MATCH(L6,'В06 Каталог'!$B$5:$B$19,0)),0),0))</f>
        <v/>
      </c>
      <c r="N6" s="23">
        <f>IF(L6="",0,IFERROR(IF(ISNUMBER(SEARCH(E6,INDEX('В06 Каталог'!$D$5:$D$19,MATCH(L6,'В06 Каталог'!$B$5:$B$19,0)))),INDEX('В06 Каталог'!$F$5:$F$19,MATCH(L6,'В06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категорію",IF(AND(L6&lt;&gt;"",INDEX('В06 Каталог'!$H$5:$H$19,MATCH(L6,'В06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IF(L7="",0,IFERROR(IF(ISNUMBER(SEARCH(E7,INDEX('В06 Каталог'!$D$5:$D$19,MATCH(L7,'В06 Каталог'!$B$5:$B$19,0)))),INDEX('В06 Каталог'!$E$5:$E$19,MATCH(L7,'В06 Каталог'!$B$5:$B$19,0)),0),0))</f>
        <v/>
      </c>
      <c r="N7" s="23">
        <f>IF(L7="",0,IFERROR(IF(ISNUMBER(SEARCH(E7,INDEX('В06 Каталог'!$D$5:$D$19,MATCH(L7,'В06 Каталог'!$B$5:$B$19,0)))),INDEX('В06 Каталог'!$F$5:$F$19,MATCH(L7,'В06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категорію",IF(AND(L7&lt;&gt;"",INDEX('В06 Каталог'!$H$5:$H$19,MATCH(L7,'В06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IF(L8="",0,IFERROR(IF(ISNUMBER(SEARCH(E8,INDEX('В06 Каталог'!$D$5:$D$19,MATCH(L8,'В06 Каталог'!$B$5:$B$19,0)))),INDEX('В06 Каталог'!$E$5:$E$19,MATCH(L8,'В06 Каталог'!$B$5:$B$19,0)),0),0))</f>
        <v/>
      </c>
      <c r="N8" s="23">
        <f>IF(L8="",0,IFERROR(IF(ISNUMBER(SEARCH(E8,INDEX('В06 Каталог'!$D$5:$D$19,MATCH(L8,'В06 Каталог'!$B$5:$B$19,0)))),INDEX('В06 Каталог'!$F$5:$F$19,MATCH(L8,'В06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категорію",IF(AND(L8&lt;&gt;"",INDEX('В06 Каталог'!$H$5:$H$19,MATCH(L8,'В06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IF(L9="",0,IFERROR(IF(ISNUMBER(SEARCH(E9,INDEX('В06 Каталог'!$D$5:$D$19,MATCH(L9,'В06 Каталог'!$B$5:$B$19,0)))),INDEX('В06 Каталог'!$E$5:$E$19,MATCH(L9,'В06 Каталог'!$B$5:$B$19,0)),0),0))</f>
        <v/>
      </c>
      <c r="N9" s="23">
        <f>IF(L9="",0,IFERROR(IF(ISNUMBER(SEARCH(E9,INDEX('В06 Каталог'!$D$5:$D$19,MATCH(L9,'В06 Каталог'!$B$5:$B$19,0)))),INDEX('В06 Каталог'!$F$5:$F$19,MATCH(L9,'В06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категорію",IF(AND(L9&lt;&gt;"",INDEX('В06 Каталог'!$H$5:$H$19,MATCH(L9,'В06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IF(L10="",0,IFERROR(IF(ISNUMBER(SEARCH(E10,INDEX('В06 Каталог'!$D$5:$D$19,MATCH(L10,'В06 Каталог'!$B$5:$B$19,0)))),INDEX('В06 Каталог'!$E$5:$E$19,MATCH(L10,'В06 Каталог'!$B$5:$B$19,0)),0),0))</f>
        <v/>
      </c>
      <c r="N10" s="23">
        <f>IF(L10="",0,IFERROR(IF(ISNUMBER(SEARCH(E10,INDEX('В06 Каталог'!$D$5:$D$19,MATCH(L10,'В06 Каталог'!$B$5:$B$19,0)))),INDEX('В06 Каталог'!$F$5:$F$19,MATCH(L10,'В06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категорію",IF(AND(L10&lt;&gt;"",INDEX('В06 Каталог'!$H$5:$H$19,MATCH(L10,'В06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IF(L11="",0,IFERROR(IF(ISNUMBER(SEARCH(E11,INDEX('В06 Каталог'!$D$5:$D$19,MATCH(L11,'В06 Каталог'!$B$5:$B$19,0)))),INDEX('В06 Каталог'!$E$5:$E$19,MATCH(L11,'В06 Каталог'!$B$5:$B$19,0)),0),0))</f>
        <v/>
      </c>
      <c r="N11" s="23">
        <f>IF(L11="",0,IFERROR(IF(ISNUMBER(SEARCH(E11,INDEX('В06 Каталог'!$D$5:$D$19,MATCH(L11,'В06 Каталог'!$B$5:$B$19,0)))),INDEX('В06 Каталог'!$F$5:$F$19,MATCH(L11,'В06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категорію",IF(AND(L11&lt;&gt;"",INDEX('В06 Каталог'!$H$5:$H$19,MATCH(L11,'В06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IF(L12="",0,IFERROR(IF(ISNUMBER(SEARCH(E12,INDEX('В06 Каталог'!$D$5:$D$19,MATCH(L12,'В06 Каталог'!$B$5:$B$19,0)))),INDEX('В06 Каталог'!$E$5:$E$19,MATCH(L12,'В06 Каталог'!$B$5:$B$19,0)),0),0))</f>
        <v/>
      </c>
      <c r="N12" s="23">
        <f>IF(L12="",0,IFERROR(IF(ISNUMBER(SEARCH(E12,INDEX('В06 Каталог'!$D$5:$D$19,MATCH(L12,'В06 Каталог'!$B$5:$B$19,0)))),INDEX('В06 Каталог'!$F$5:$F$19,MATCH(L12,'В06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категорію",IF(AND(L12&lt;&gt;"",INDEX('В06 Каталог'!$H$5:$H$19,MATCH(L12,'В06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IF(L13="",0,IFERROR(IF(ISNUMBER(SEARCH(E13,INDEX('В06 Каталог'!$D$5:$D$19,MATCH(L13,'В06 Каталог'!$B$5:$B$19,0)))),INDEX('В06 Каталог'!$E$5:$E$19,MATCH(L13,'В06 Каталог'!$B$5:$B$19,0)),0),0))</f>
        <v/>
      </c>
      <c r="N13" s="23">
        <f>IF(L13="",0,IFERROR(IF(ISNUMBER(SEARCH(E13,INDEX('В06 Каталог'!$D$5:$D$19,MATCH(L13,'В06 Каталог'!$B$5:$B$19,0)))),INDEX('В06 Каталог'!$F$5:$F$19,MATCH(L13,'В06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категорію",IF(AND(L13&lt;&gt;"",INDEX('В06 Каталог'!$H$5:$H$19,MATCH(L13,'В06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IF(L14="",0,IFERROR(IF(ISNUMBER(SEARCH(E14,INDEX('В06 Каталог'!$D$5:$D$19,MATCH(L14,'В06 Каталог'!$B$5:$B$19,0)))),INDEX('В06 Каталог'!$E$5:$E$19,MATCH(L14,'В06 Каталог'!$B$5:$B$19,0)),0),0))</f>
        <v/>
      </c>
      <c r="N14" s="23">
        <f>IF(L14="",0,IFERROR(IF(ISNUMBER(SEARCH(E14,INDEX('В06 Каталог'!$D$5:$D$19,MATCH(L14,'В06 Каталог'!$B$5:$B$19,0)))),INDEX('В06 Каталог'!$F$5:$F$19,MATCH(L14,'В06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категорію",IF(AND(L14&lt;&gt;"",INDEX('В06 Каталог'!$H$5:$H$19,MATCH(L14,'В06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IF(L15="",0,IFERROR(IF(ISNUMBER(SEARCH(E15,INDEX('В06 Каталог'!$D$5:$D$19,MATCH(L15,'В06 Каталог'!$B$5:$B$19,0)))),INDEX('В06 Каталог'!$E$5:$E$19,MATCH(L15,'В06 Каталог'!$B$5:$B$19,0)),0),0))</f>
        <v/>
      </c>
      <c r="N15" s="23">
        <f>IF(L15="",0,IFERROR(IF(ISNUMBER(SEARCH(E15,INDEX('В06 Каталог'!$D$5:$D$19,MATCH(L15,'В06 Каталог'!$B$5:$B$19,0)))),INDEX('В06 Каталог'!$F$5:$F$19,MATCH(L15,'В06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категорію",IF(AND(L15&lt;&gt;"",INDEX('В06 Каталог'!$H$5:$H$19,MATCH(L15,'В06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IF(L16="",0,IFERROR(IF(ISNUMBER(SEARCH(E16,INDEX('В06 Каталог'!$D$5:$D$19,MATCH(L16,'В06 Каталог'!$B$5:$B$19,0)))),INDEX('В06 Каталог'!$E$5:$E$19,MATCH(L16,'В06 Каталог'!$B$5:$B$19,0)),0),0))</f>
        <v/>
      </c>
      <c r="N16" s="23">
        <f>IF(L16="",0,IFERROR(IF(ISNUMBER(SEARCH(E16,INDEX('В06 Каталог'!$D$5:$D$19,MATCH(L16,'В06 Каталог'!$B$5:$B$19,0)))),INDEX('В06 Каталог'!$F$5:$F$19,MATCH(L16,'В06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категорію",IF(AND(L16&lt;&gt;"",INDEX('В06 Каталог'!$H$5:$H$19,MATCH(L16,'В06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IF(L17="",0,IFERROR(IF(ISNUMBER(SEARCH(E17,INDEX('В06 Каталог'!$D$5:$D$19,MATCH(L17,'В06 Каталог'!$B$5:$B$19,0)))),INDEX('В06 Каталог'!$E$5:$E$19,MATCH(L17,'В06 Каталог'!$B$5:$B$19,0)),0),0))</f>
        <v/>
      </c>
      <c r="N17" s="23">
        <f>IF(L17="",0,IFERROR(IF(ISNUMBER(SEARCH(E17,INDEX('В06 Каталог'!$D$5:$D$19,MATCH(L17,'В06 Каталог'!$B$5:$B$19,0)))),INDEX('В06 Каталог'!$F$5:$F$19,MATCH(L17,'В06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категорію",IF(AND(L17&lt;&gt;"",INDEX('В06 Каталог'!$H$5:$H$19,MATCH(L17,'В06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IF(L18="",0,IFERROR(IF(ISNUMBER(SEARCH(E18,INDEX('В06 Каталог'!$D$5:$D$19,MATCH(L18,'В06 Каталог'!$B$5:$B$19,0)))),INDEX('В06 Каталог'!$E$5:$E$19,MATCH(L18,'В06 Каталог'!$B$5:$B$19,0)),0),0))</f>
        <v/>
      </c>
      <c r="N18" s="23">
        <f>IF(L18="",0,IFERROR(IF(ISNUMBER(SEARCH(E18,INDEX('В06 Каталог'!$D$5:$D$19,MATCH(L18,'В06 Каталог'!$B$5:$B$19,0)))),INDEX('В06 Каталог'!$F$5:$F$19,MATCH(L18,'В06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категорію",IF(AND(L18&lt;&gt;"",INDEX('В06 Каталог'!$H$5:$H$19,MATCH(L18,'В06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IF(L19="",0,IFERROR(IF(ISNUMBER(SEARCH(E19,INDEX('В06 Каталог'!$D$5:$D$19,MATCH(L19,'В06 Каталог'!$B$5:$B$19,0)))),INDEX('В06 Каталог'!$E$5:$E$19,MATCH(L19,'В06 Каталог'!$B$5:$B$19,0)),0),0))</f>
        <v/>
      </c>
      <c r="N19" s="23">
        <f>IF(L19="",0,IFERROR(IF(ISNUMBER(SEARCH(E19,INDEX('В06 Каталог'!$D$5:$D$19,MATCH(L19,'В06 Каталог'!$B$5:$B$19,0)))),INDEX('В06 Каталог'!$F$5:$F$19,MATCH(L19,'В06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категорію",IF(AND(L19&lt;&gt;"",INDEX('В06 Каталог'!$H$5:$H$19,MATCH(L19,'В06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IF(L20="",0,IFERROR(IF(ISNUMBER(SEARCH(E20,INDEX('В06 Каталог'!$D$5:$D$19,MATCH(L20,'В06 Каталог'!$B$5:$B$19,0)))),INDEX('В06 Каталог'!$E$5:$E$19,MATCH(L20,'В06 Каталог'!$B$5:$B$19,0)),0),0))</f>
        <v/>
      </c>
      <c r="N20" s="23">
        <f>IF(L20="",0,IFERROR(IF(ISNUMBER(SEARCH(E20,INDEX('В06 Каталог'!$D$5:$D$19,MATCH(L20,'В06 Каталог'!$B$5:$B$19,0)))),INDEX('В06 Каталог'!$F$5:$F$19,MATCH(L20,'В06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категорію",IF(AND(L20&lt;&gt;"",INDEX('В06 Каталог'!$H$5:$H$19,MATCH(L20,'В06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IF(L21="",0,IFERROR(IF(ISNUMBER(SEARCH(E21,INDEX('В06 Каталог'!$D$5:$D$19,MATCH(L21,'В06 Каталог'!$B$5:$B$19,0)))),INDEX('В06 Каталог'!$E$5:$E$19,MATCH(L21,'В06 Каталог'!$B$5:$B$19,0)),0),0))</f>
        <v/>
      </c>
      <c r="N21" s="23">
        <f>IF(L21="",0,IFERROR(IF(ISNUMBER(SEARCH(E21,INDEX('В06 Каталог'!$D$5:$D$19,MATCH(L21,'В06 Каталог'!$B$5:$B$19,0)))),INDEX('В06 Каталог'!$F$5:$F$19,MATCH(L21,'В06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категорію",IF(AND(L21&lt;&gt;"",INDEX('В06 Каталог'!$H$5:$H$19,MATCH(L21,'В06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IF(L22="",0,IFERROR(IF(ISNUMBER(SEARCH(E22,INDEX('В06 Каталог'!$D$5:$D$19,MATCH(L22,'В06 Каталог'!$B$5:$B$19,0)))),INDEX('В06 Каталог'!$E$5:$E$19,MATCH(L22,'В06 Каталог'!$B$5:$B$19,0)),0),0))</f>
        <v/>
      </c>
      <c r="N22" s="23">
        <f>IF(L22="",0,IFERROR(IF(ISNUMBER(SEARCH(E22,INDEX('В06 Каталог'!$D$5:$D$19,MATCH(L22,'В06 Каталог'!$B$5:$B$19,0)))),INDEX('В06 Каталог'!$F$5:$F$19,MATCH(L22,'В06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категорію",IF(AND(L22&lt;&gt;"",INDEX('В06 Каталог'!$H$5:$H$19,MATCH(L22,'В06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IF(L23="",0,IFERROR(IF(ISNUMBER(SEARCH(E23,INDEX('В06 Каталог'!$D$5:$D$19,MATCH(L23,'В06 Каталог'!$B$5:$B$19,0)))),INDEX('В06 Каталог'!$E$5:$E$19,MATCH(L23,'В06 Каталог'!$B$5:$B$19,0)),0),0))</f>
        <v/>
      </c>
      <c r="N23" s="23">
        <f>IF(L23="",0,IFERROR(IF(ISNUMBER(SEARCH(E23,INDEX('В06 Каталог'!$D$5:$D$19,MATCH(L23,'В06 Каталог'!$B$5:$B$19,0)))),INDEX('В06 Каталог'!$F$5:$F$19,MATCH(L23,'В06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категорію",IF(AND(L23&lt;&gt;"",INDEX('В06 Каталог'!$H$5:$H$19,MATCH(L23,'В06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IF(L24="",0,IFERROR(IF(ISNUMBER(SEARCH(E24,INDEX('В06 Каталог'!$D$5:$D$19,MATCH(L24,'В06 Каталог'!$B$5:$B$19,0)))),INDEX('В06 Каталог'!$E$5:$E$19,MATCH(L24,'В06 Каталог'!$B$5:$B$19,0)),0),0))</f>
        <v/>
      </c>
      <c r="N24" s="23">
        <f>IF(L24="",0,IFERROR(IF(ISNUMBER(SEARCH(E24,INDEX('В06 Каталог'!$D$5:$D$19,MATCH(L24,'В06 Каталог'!$B$5:$B$19,0)))),INDEX('В06 Каталог'!$F$5:$F$19,MATCH(L24,'В06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категорію",IF(AND(L24&lt;&gt;"",INDEX('В06 Каталог'!$H$5:$H$19,MATCH(L24,'В06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='В06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='В06 Каталог'!$B$5:$B$19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COUNTIFS('В06 Ризики'!$F$5:$F$24,1,'В06 Ризики'!$G$5:$G$24,5)</f>
        <v/>
      </c>
      <c r="C6" s="26">
        <f>COUNTIFS('В06 Ризики'!$F$5:$F$24,2,'В06 Ризики'!$G$5:$G$24,5)</f>
        <v/>
      </c>
      <c r="D6" s="26">
        <f>COUNTIFS('В06 Ризики'!$F$5:$F$24,3,'В06 Ризики'!$G$5:$G$24,5)</f>
        <v/>
      </c>
      <c r="E6" s="27">
        <f>COUNTIFS('В06 Ризики'!$F$5:$F$24,4,'В06 Ризики'!$G$5:$G$24,5)</f>
        <v/>
      </c>
      <c r="F6" s="27">
        <f>COUNTIFS('В06 Ризики'!$F$5:$F$24,5,'В06 Ризики'!$G$5:$G$24,5)</f>
        <v/>
      </c>
      <c r="I6" s="24" t="inlineStr">
        <is>
          <t>C = 5</t>
        </is>
      </c>
      <c r="J6" s="25">
        <f>COUNTIFS('В06 Ризики'!$O$5:$O$24,1,'В06 Ризики'!$P$5:$P$24,5)</f>
        <v/>
      </c>
      <c r="K6" s="26">
        <f>COUNTIFS('В06 Ризики'!$O$5:$O$24,2,'В06 Ризики'!$P$5:$P$24,5)</f>
        <v/>
      </c>
      <c r="L6" s="26">
        <f>COUNTIFS('В06 Ризики'!$O$5:$O$24,3,'В06 Ризики'!$P$5:$P$24,5)</f>
        <v/>
      </c>
      <c r="M6" s="27">
        <f>COUNTIFS('В06 Ризики'!$O$5:$O$24,4,'В06 Ризики'!$P$5:$P$24,5)</f>
        <v/>
      </c>
      <c r="N6" s="27">
        <f>COUNTIFS('В06 Ризики'!$O$5:$O$24,5,'В06 Ризики'!$P$5:$P$24,5)</f>
        <v/>
      </c>
    </row>
    <row r="7" ht="34" customHeight="1">
      <c r="A7" s="24" t="inlineStr">
        <is>
          <t>C = 4</t>
        </is>
      </c>
      <c r="B7" s="28">
        <f>COUNTIFS('В06 Ризики'!$F$5:$F$24,1,'В06 Ризики'!$G$5:$G$24,4)</f>
        <v/>
      </c>
      <c r="C7" s="25">
        <f>COUNTIFS('В06 Ризики'!$F$5:$F$24,2,'В06 Ризики'!$G$5:$G$24,4)</f>
        <v/>
      </c>
      <c r="D7" s="26">
        <f>COUNTIFS('В06 Ризики'!$F$5:$F$24,3,'В06 Ризики'!$G$5:$G$24,4)</f>
        <v/>
      </c>
      <c r="E7" s="26">
        <f>COUNTIFS('В06 Ризики'!$F$5:$F$24,4,'В06 Ризики'!$G$5:$G$24,4)</f>
        <v/>
      </c>
      <c r="F7" s="27">
        <f>COUNTIFS('В06 Ризики'!$F$5:$F$24,5,'В06 Ризики'!$G$5:$G$24,4)</f>
        <v/>
      </c>
      <c r="I7" s="24" t="inlineStr">
        <is>
          <t>C = 4</t>
        </is>
      </c>
      <c r="J7" s="28">
        <f>COUNTIFS('В06 Ризики'!$O$5:$O$24,1,'В06 Ризики'!$P$5:$P$24,4)</f>
        <v/>
      </c>
      <c r="K7" s="25">
        <f>COUNTIFS('В06 Ризики'!$O$5:$O$24,2,'В06 Ризики'!$P$5:$P$24,4)</f>
        <v/>
      </c>
      <c r="L7" s="26">
        <f>COUNTIFS('В06 Ризики'!$O$5:$O$24,3,'В06 Ризики'!$P$5:$P$24,4)</f>
        <v/>
      </c>
      <c r="M7" s="26">
        <f>COUNTIFS('В06 Ризики'!$O$5:$O$24,4,'В06 Ризики'!$P$5:$P$24,4)</f>
        <v/>
      </c>
      <c r="N7" s="27">
        <f>COUNTIFS('В06 Ризики'!$O$5:$O$24,5,'В06 Ризики'!$P$5:$P$24,4)</f>
        <v/>
      </c>
    </row>
    <row r="8" ht="34" customHeight="1">
      <c r="A8" s="24" t="inlineStr">
        <is>
          <t>C = 3</t>
        </is>
      </c>
      <c r="B8" s="28">
        <f>COUNTIFS('В06 Ризики'!$F$5:$F$24,1,'В06 Ризики'!$G$5:$G$24,3)</f>
        <v/>
      </c>
      <c r="C8" s="25">
        <f>COUNTIFS('В06 Ризики'!$F$5:$F$24,2,'В06 Ризики'!$G$5:$G$24,3)</f>
        <v/>
      </c>
      <c r="D8" s="25">
        <f>COUNTIFS('В06 Ризики'!$F$5:$F$24,3,'В06 Ризики'!$G$5:$G$24,3)</f>
        <v/>
      </c>
      <c r="E8" s="26">
        <f>COUNTIFS('В06 Ризики'!$F$5:$F$24,4,'В06 Ризики'!$G$5:$G$24,3)</f>
        <v/>
      </c>
      <c r="F8" s="26">
        <f>COUNTIFS('В06 Ризики'!$F$5:$F$24,5,'В06 Ризики'!$G$5:$G$24,3)</f>
        <v/>
      </c>
      <c r="I8" s="24" t="inlineStr">
        <is>
          <t>C = 3</t>
        </is>
      </c>
      <c r="J8" s="28">
        <f>COUNTIFS('В06 Ризики'!$O$5:$O$24,1,'В06 Ризики'!$P$5:$P$24,3)</f>
        <v/>
      </c>
      <c r="K8" s="25">
        <f>COUNTIFS('В06 Ризики'!$O$5:$O$24,2,'В06 Ризики'!$P$5:$P$24,3)</f>
        <v/>
      </c>
      <c r="L8" s="25">
        <f>COUNTIFS('В06 Ризики'!$O$5:$O$24,3,'В06 Ризики'!$P$5:$P$24,3)</f>
        <v/>
      </c>
      <c r="M8" s="26">
        <f>COUNTIFS('В06 Ризики'!$O$5:$O$24,4,'В06 Ризики'!$P$5:$P$24,3)</f>
        <v/>
      </c>
      <c r="N8" s="26">
        <f>COUNTIFS('В06 Ризики'!$O$5:$O$24,5,'В06 Ризики'!$P$5:$P$24,3)</f>
        <v/>
      </c>
    </row>
    <row r="9" ht="34" customHeight="1">
      <c r="A9" s="24" t="inlineStr">
        <is>
          <t>C = 2</t>
        </is>
      </c>
      <c r="B9" s="28">
        <f>COUNTIFS('В06 Ризики'!$F$5:$F$24,1,'В06 Ризики'!$G$5:$G$24,2)</f>
        <v/>
      </c>
      <c r="C9" s="28">
        <f>COUNTIFS('В06 Ризики'!$F$5:$F$24,2,'В06 Ризики'!$G$5:$G$24,2)</f>
        <v/>
      </c>
      <c r="D9" s="25">
        <f>COUNTIFS('В06 Ризики'!$F$5:$F$24,3,'В06 Ризики'!$G$5:$G$24,2)</f>
        <v/>
      </c>
      <c r="E9" s="25">
        <f>COUNTIFS('В06 Ризики'!$F$5:$F$24,4,'В06 Ризики'!$G$5:$G$24,2)</f>
        <v/>
      </c>
      <c r="F9" s="26">
        <f>COUNTIFS('В06 Ризики'!$F$5:$F$24,5,'В06 Ризики'!$G$5:$G$24,2)</f>
        <v/>
      </c>
      <c r="I9" s="24" t="inlineStr">
        <is>
          <t>C = 2</t>
        </is>
      </c>
      <c r="J9" s="28">
        <f>COUNTIFS('В06 Ризики'!$O$5:$O$24,1,'В06 Ризики'!$P$5:$P$24,2)</f>
        <v/>
      </c>
      <c r="K9" s="28">
        <f>COUNTIFS('В06 Ризики'!$O$5:$O$24,2,'В06 Ризики'!$P$5:$P$24,2)</f>
        <v/>
      </c>
      <c r="L9" s="25">
        <f>COUNTIFS('В06 Ризики'!$O$5:$O$24,3,'В06 Ризики'!$P$5:$P$24,2)</f>
        <v/>
      </c>
      <c r="M9" s="25">
        <f>COUNTIFS('В06 Ризики'!$O$5:$O$24,4,'В06 Ризики'!$P$5:$P$24,2)</f>
        <v/>
      </c>
      <c r="N9" s="26">
        <f>COUNTIFS('В06 Ризики'!$O$5:$O$24,5,'В06 Ризики'!$P$5:$P$24,2)</f>
        <v/>
      </c>
    </row>
    <row r="10" ht="34" customHeight="1">
      <c r="A10" s="24" t="inlineStr">
        <is>
          <t>C = 1</t>
        </is>
      </c>
      <c r="B10" s="28">
        <f>COUNTIFS('В06 Ризики'!$F$5:$F$24,1,'В06 Ризики'!$G$5:$G$24,1)</f>
        <v/>
      </c>
      <c r="C10" s="28">
        <f>COUNTIFS('В06 Ризики'!$F$5:$F$24,2,'В06 Ризики'!$G$5:$G$24,1)</f>
        <v/>
      </c>
      <c r="D10" s="28">
        <f>COUNTIFS('В06 Ризики'!$F$5:$F$24,3,'В06 Ризики'!$G$5:$G$24,1)</f>
        <v/>
      </c>
      <c r="E10" s="28">
        <f>COUNTIFS('В06 Ризики'!$F$5:$F$24,4,'В06 Ризики'!$G$5:$G$24,1)</f>
        <v/>
      </c>
      <c r="F10" s="25">
        <f>COUNTIFS('В06 Ризики'!$F$5:$F$24,5,'В06 Ризики'!$G$5:$G$24,1)</f>
        <v/>
      </c>
      <c r="I10" s="24" t="inlineStr">
        <is>
          <t>C = 1</t>
        </is>
      </c>
      <c r="J10" s="28">
        <f>COUNTIFS('В06 Ризики'!$O$5:$O$24,1,'В06 Ризики'!$P$5:$P$24,1)</f>
        <v/>
      </c>
      <c r="K10" s="28">
        <f>COUNTIFS('В06 Ризики'!$O$5:$O$24,2,'В06 Ризики'!$P$5:$P$24,1)</f>
        <v/>
      </c>
      <c r="L10" s="28">
        <f>COUNTIFS('В06 Ризики'!$O$5:$O$24,3,'В06 Ризики'!$P$5:$P$24,1)</f>
        <v/>
      </c>
      <c r="M10" s="28">
        <f>COUNTIFS('В06 Ризики'!$O$5:$O$24,4,'В06 Ризики'!$P$5:$P$24,1)</f>
        <v/>
      </c>
      <c r="N10" s="25">
        <f>COUNTIFS('В06 Ризики'!$O$5:$O$24,5,'В06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BF8F0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SUM('В06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SUM('В06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SUM('В06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COUNTIF('В06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SUMPRODUCT(('В06 Ризики'!J5:J24="Так")*('В06 Ризики'!R5:R24&lt;&gt;"ОК"))</f>
        <v/>
      </c>
    </row>
    <row r="13">
      <c r="A13" s="31" t="inlineStr">
        <is>
          <t>Ризики у реєстрі</t>
        </is>
      </c>
      <c r="B13" s="33">
        <f>COUNTA('В06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BF8F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833C0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07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833C0B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07</t>
        </is>
      </c>
    </row>
    <row r="2"/>
    <row r="3">
      <c r="A3" s="10" t="inlineStr">
        <is>
          <t>Номер варіанта</t>
        </is>
      </c>
      <c r="B3" s="11" t="inlineStr">
        <is>
          <t>07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погане</t>
        </is>
      </c>
    </row>
    <row r="9">
      <c r="A9" s="10" t="inlineStr">
        <is>
          <t>Вуличний банкомат: камера</t>
        </is>
      </c>
      <c r="B9" s="11" t="inlineStr">
        <is>
          <t>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420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120</t>
        </is>
      </c>
    </row>
    <row r="12">
      <c r="A12" s="10" t="inlineStr">
        <is>
          <t>Резервне живлення</t>
        </is>
      </c>
      <c r="B12" s="11" t="inlineStr">
        <is>
          <t>генератор і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2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один провайдер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2</t>
        </is>
      </c>
    </row>
    <row r="16">
      <c r="A16" s="10" t="inlineStr">
        <is>
          <t>Особливий актив відділення</t>
        </is>
      </c>
      <c r="B16" s="11" t="inlineStr">
        <is>
          <t>Мережевий принтер-сканер із функцією надсилання скан-копій на пошту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833C0B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IF(COUNTIF('В07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IF(COUNTIF('В07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IF(COUNTIF('В07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IF(COUNTIF('В07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IF(COUNTIF('В07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IF(COUNTIF('В07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IF(COUNTIF('В07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IF(COUNTIF('В07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IF(COUNTIF('В07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IF(COUNTIF('В07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IF(COUNTIF('В07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IF(COUNTIF('В07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IF(COUNTIF('В07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IF(COUNTIF('В07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IF(COUNTIF('В07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833C0B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833C0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Вуличний банкомат (картки клієнтів)</t>
        </is>
      </c>
      <c r="C5" s="14" t="inlineStr">
        <is>
          <t>Встановлення скімера й масове копіювання карток</t>
        </is>
      </c>
      <c r="D5" s="14" t="inlineStr">
        <is>
          <t>камера є, освітлення погане</t>
        </is>
      </c>
      <c r="E5" s="14" t="n">
        <v>3</v>
      </c>
      <c r="F5" s="14" t="n">
        <v>3</v>
      </c>
      <c r="G5" s="14" t="inlineStr">
        <is>
          <t>оцінено за даними профілю</t>
        </is>
      </c>
    </row>
    <row r="6">
      <c r="A6" s="14" t="n">
        <v>2</v>
      </c>
      <c r="B6" s="14" t="n"/>
      <c r="C6" s="14" t="inlineStr">
        <is>
          <t>Фішинг</t>
        </is>
      </c>
      <c r="D6" s="14" t="n"/>
      <c r="E6" s="14" t="n">
        <v>4</v>
      </c>
      <c r="F6" s="14" t="n">
        <v>4</v>
      </c>
      <c r="G6" s="14" t="inlineStr">
        <is>
          <t>Дуже небезпечно, треба бачити</t>
        </is>
      </c>
    </row>
    <row r="7">
      <c r="A7" s="14" t="n">
        <v>3</v>
      </c>
      <c r="B7" s="14" t="inlineStr">
        <is>
          <t>Канал зв'язку з головним офісом</t>
        </is>
      </c>
      <c r="C7" s="14" t="inlineStr">
        <is>
          <t>Відмова каналу до головного офісу</t>
        </is>
      </c>
      <c r="D7" s="14" t="inlineStr">
        <is>
          <t>один провайдер</t>
        </is>
      </c>
      <c r="E7" s="14" t="n">
        <v>3</v>
      </c>
      <c r="F7" s="14" t="n">
        <v>4</v>
      </c>
      <c r="G7" s="14" t="inlineStr">
        <is>
          <t>оцінено за даними профілю</t>
        </is>
      </c>
    </row>
    <row r="8">
      <c r="A8" s="14" t="n">
        <v>4</v>
      </c>
      <c r="B8" s="14" t="inlineStr">
        <is>
          <t>Серверна</t>
        </is>
      </c>
      <c r="C8" s="14" t="inlineStr">
        <is>
          <t>Пожежа в серверній</t>
        </is>
      </c>
      <c r="D8" s="14" t="inlineStr">
        <is>
          <t>немає автоматичного пожежогасіння</t>
        </is>
      </c>
      <c r="E8" s="14" t="n">
        <v>5</v>
      </c>
      <c r="F8" s="14" t="n">
        <v>5</v>
      </c>
      <c r="G8" s="14" t="inlineStr">
        <is>
          <t>За останні сім років було лише один такий випадок у нашій мережі</t>
        </is>
      </c>
    </row>
    <row r="9">
      <c r="A9" s="14" t="n">
        <v>5</v>
      </c>
      <c r="B9" s="14" t="inlineStr">
        <is>
          <t>Вуличний банкомат (готівка)</t>
        </is>
      </c>
      <c r="C9" s="14" t="inlineStr">
        <is>
          <t>Крадіжка готівки з вуличного банкомата</t>
        </is>
      </c>
      <c r="D9" s="14" t="inlineStr">
        <is>
          <t>камера є, освітлення погане</t>
        </is>
      </c>
      <c r="E9" s="14" t="n">
        <v>4</v>
      </c>
      <c r="F9" s="14" t="n">
        <v>4</v>
      </c>
      <c r="G9" s="14" t="inlineStr">
        <is>
          <t>перший з двох записів про одне й те саме</t>
        </is>
      </c>
    </row>
    <row r="10">
      <c r="A10" s="14" t="n">
        <v>6</v>
      </c>
      <c r="B10" s="14" t="inlineStr">
        <is>
          <t>Серверна й обладнання відділення</t>
        </is>
      </c>
      <c r="C10" s="14" t="inlineStr">
        <is>
          <t>Зловживання правами недобросовісним співробітником</t>
        </is>
      </c>
      <c r="D10" s="14" t="inlineStr">
        <is>
          <t>права адміністратора в кількох працівників, журнали не переглядають</t>
        </is>
      </c>
      <c r="E10" s="14" t="n">
        <v>2</v>
      </c>
      <c r="F10" s="14" t="n">
        <v>4</v>
      </c>
      <c r="G10" s="14" t="inlineStr">
        <is>
          <t>оцінено за політикою доступу</t>
        </is>
      </c>
    </row>
    <row r="11">
      <c r="A11" s="14" t="n">
        <v>7</v>
      </c>
      <c r="B11" s="14" t="inlineStr">
        <is>
          <t>Вуличний банкомат (готівка)</t>
        </is>
      </c>
      <c r="C11" s="14" t="inlineStr">
        <is>
          <t>Злам банкомата з метою вилучення готівки</t>
        </is>
      </c>
      <c r="D11" s="14" t="inlineStr">
        <is>
          <t>камера є, освітлення погане</t>
        </is>
      </c>
      <c r="E11" s="14" t="n">
        <v>4</v>
      </c>
      <c r="F11" s="14" t="n">
        <v>4</v>
      </c>
      <c r="G11" s="14" t="inlineStr">
        <is>
          <t>другий запис, інші слова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833C0B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IF(L5="",0,IFERROR(IF(ISNUMBER(SEARCH(E5,INDEX('В07 Каталог'!$D$5:$D$19,MATCH(L5,'В07 Каталог'!$B$5:$B$19,0)))),INDEX('В07 Каталог'!$E$5:$E$19,MATCH(L5,'В07 Каталог'!$B$5:$B$19,0)),0),0))</f>
        <v/>
      </c>
      <c r="N5" s="23">
        <f>IF(L5="",0,IFERROR(IF(ISNUMBER(SEARCH(E5,INDEX('В07 Каталог'!$D$5:$D$19,MATCH(L5,'В07 Каталог'!$B$5:$B$19,0)))),INDEX('В07 Каталог'!$F$5:$F$19,MATCH(L5,'В07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категорію",IF(AND(L5&lt;&gt;"",INDEX('В07 Каталог'!$H$5:$H$19,MATCH(L5,'В07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IF(L6="",0,IFERROR(IF(ISNUMBER(SEARCH(E6,INDEX('В07 Каталог'!$D$5:$D$19,MATCH(L6,'В07 Каталог'!$B$5:$B$19,0)))),INDEX('В07 Каталог'!$E$5:$E$19,MATCH(L6,'В07 Каталог'!$B$5:$B$19,0)),0),0))</f>
        <v/>
      </c>
      <c r="N6" s="23">
        <f>IF(L6="",0,IFERROR(IF(ISNUMBER(SEARCH(E6,INDEX('В07 Каталог'!$D$5:$D$19,MATCH(L6,'В07 Каталог'!$B$5:$B$19,0)))),INDEX('В07 Каталог'!$F$5:$F$19,MATCH(L6,'В07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категорію",IF(AND(L6&lt;&gt;"",INDEX('В07 Каталог'!$H$5:$H$19,MATCH(L6,'В07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IF(L7="",0,IFERROR(IF(ISNUMBER(SEARCH(E7,INDEX('В07 Каталог'!$D$5:$D$19,MATCH(L7,'В07 Каталог'!$B$5:$B$19,0)))),INDEX('В07 Каталог'!$E$5:$E$19,MATCH(L7,'В07 Каталог'!$B$5:$B$19,0)),0),0))</f>
        <v/>
      </c>
      <c r="N7" s="23">
        <f>IF(L7="",0,IFERROR(IF(ISNUMBER(SEARCH(E7,INDEX('В07 Каталог'!$D$5:$D$19,MATCH(L7,'В07 Каталог'!$B$5:$B$19,0)))),INDEX('В07 Каталог'!$F$5:$F$19,MATCH(L7,'В07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категорію",IF(AND(L7&lt;&gt;"",INDEX('В07 Каталог'!$H$5:$H$19,MATCH(L7,'В07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IF(L8="",0,IFERROR(IF(ISNUMBER(SEARCH(E8,INDEX('В07 Каталог'!$D$5:$D$19,MATCH(L8,'В07 Каталог'!$B$5:$B$19,0)))),INDEX('В07 Каталог'!$E$5:$E$19,MATCH(L8,'В07 Каталог'!$B$5:$B$19,0)),0),0))</f>
        <v/>
      </c>
      <c r="N8" s="23">
        <f>IF(L8="",0,IFERROR(IF(ISNUMBER(SEARCH(E8,INDEX('В07 Каталог'!$D$5:$D$19,MATCH(L8,'В07 Каталог'!$B$5:$B$19,0)))),INDEX('В07 Каталог'!$F$5:$F$19,MATCH(L8,'В07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категорію",IF(AND(L8&lt;&gt;"",INDEX('В07 Каталог'!$H$5:$H$19,MATCH(L8,'В07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IF(L9="",0,IFERROR(IF(ISNUMBER(SEARCH(E9,INDEX('В07 Каталог'!$D$5:$D$19,MATCH(L9,'В07 Каталог'!$B$5:$B$19,0)))),INDEX('В07 Каталог'!$E$5:$E$19,MATCH(L9,'В07 Каталог'!$B$5:$B$19,0)),0),0))</f>
        <v/>
      </c>
      <c r="N9" s="23">
        <f>IF(L9="",0,IFERROR(IF(ISNUMBER(SEARCH(E9,INDEX('В07 Каталог'!$D$5:$D$19,MATCH(L9,'В07 Каталог'!$B$5:$B$19,0)))),INDEX('В07 Каталог'!$F$5:$F$19,MATCH(L9,'В07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категорію",IF(AND(L9&lt;&gt;"",INDEX('В07 Каталог'!$H$5:$H$19,MATCH(L9,'В07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IF(L10="",0,IFERROR(IF(ISNUMBER(SEARCH(E10,INDEX('В07 Каталог'!$D$5:$D$19,MATCH(L10,'В07 Каталог'!$B$5:$B$19,0)))),INDEX('В07 Каталог'!$E$5:$E$19,MATCH(L10,'В07 Каталог'!$B$5:$B$19,0)),0),0))</f>
        <v/>
      </c>
      <c r="N10" s="23">
        <f>IF(L10="",0,IFERROR(IF(ISNUMBER(SEARCH(E10,INDEX('В07 Каталог'!$D$5:$D$19,MATCH(L10,'В07 Каталог'!$B$5:$B$19,0)))),INDEX('В07 Каталог'!$F$5:$F$19,MATCH(L10,'В07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категорію",IF(AND(L10&lt;&gt;"",INDEX('В07 Каталог'!$H$5:$H$19,MATCH(L10,'В07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IF(L11="",0,IFERROR(IF(ISNUMBER(SEARCH(E11,INDEX('В07 Каталог'!$D$5:$D$19,MATCH(L11,'В07 Каталог'!$B$5:$B$19,0)))),INDEX('В07 Каталог'!$E$5:$E$19,MATCH(L11,'В07 Каталог'!$B$5:$B$19,0)),0),0))</f>
        <v/>
      </c>
      <c r="N11" s="23">
        <f>IF(L11="",0,IFERROR(IF(ISNUMBER(SEARCH(E11,INDEX('В07 Каталог'!$D$5:$D$19,MATCH(L11,'В07 Каталог'!$B$5:$B$19,0)))),INDEX('В07 Каталог'!$F$5:$F$19,MATCH(L11,'В07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категорію",IF(AND(L11&lt;&gt;"",INDEX('В07 Каталог'!$H$5:$H$19,MATCH(L11,'В07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IF(L12="",0,IFERROR(IF(ISNUMBER(SEARCH(E12,INDEX('В07 Каталог'!$D$5:$D$19,MATCH(L12,'В07 Каталог'!$B$5:$B$19,0)))),INDEX('В07 Каталог'!$E$5:$E$19,MATCH(L12,'В07 Каталог'!$B$5:$B$19,0)),0),0))</f>
        <v/>
      </c>
      <c r="N12" s="23">
        <f>IF(L12="",0,IFERROR(IF(ISNUMBER(SEARCH(E12,INDEX('В07 Каталог'!$D$5:$D$19,MATCH(L12,'В07 Каталог'!$B$5:$B$19,0)))),INDEX('В07 Каталог'!$F$5:$F$19,MATCH(L12,'В07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категорію",IF(AND(L12&lt;&gt;"",INDEX('В07 Каталог'!$H$5:$H$19,MATCH(L12,'В07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IF(L13="",0,IFERROR(IF(ISNUMBER(SEARCH(E13,INDEX('В07 Каталог'!$D$5:$D$19,MATCH(L13,'В07 Каталог'!$B$5:$B$19,0)))),INDEX('В07 Каталог'!$E$5:$E$19,MATCH(L13,'В07 Каталог'!$B$5:$B$19,0)),0),0))</f>
        <v/>
      </c>
      <c r="N13" s="23">
        <f>IF(L13="",0,IFERROR(IF(ISNUMBER(SEARCH(E13,INDEX('В07 Каталог'!$D$5:$D$19,MATCH(L13,'В07 Каталог'!$B$5:$B$19,0)))),INDEX('В07 Каталог'!$F$5:$F$19,MATCH(L13,'В07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категорію",IF(AND(L13&lt;&gt;"",INDEX('В07 Каталог'!$H$5:$H$19,MATCH(L13,'В07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IF(L14="",0,IFERROR(IF(ISNUMBER(SEARCH(E14,INDEX('В07 Каталог'!$D$5:$D$19,MATCH(L14,'В07 Каталог'!$B$5:$B$19,0)))),INDEX('В07 Каталог'!$E$5:$E$19,MATCH(L14,'В07 Каталог'!$B$5:$B$19,0)),0),0))</f>
        <v/>
      </c>
      <c r="N14" s="23">
        <f>IF(L14="",0,IFERROR(IF(ISNUMBER(SEARCH(E14,INDEX('В07 Каталог'!$D$5:$D$19,MATCH(L14,'В07 Каталог'!$B$5:$B$19,0)))),INDEX('В07 Каталог'!$F$5:$F$19,MATCH(L14,'В07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категорію",IF(AND(L14&lt;&gt;"",INDEX('В07 Каталог'!$H$5:$H$19,MATCH(L14,'В07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IF(L15="",0,IFERROR(IF(ISNUMBER(SEARCH(E15,INDEX('В07 Каталог'!$D$5:$D$19,MATCH(L15,'В07 Каталог'!$B$5:$B$19,0)))),INDEX('В07 Каталог'!$E$5:$E$19,MATCH(L15,'В07 Каталог'!$B$5:$B$19,0)),0),0))</f>
        <v/>
      </c>
      <c r="N15" s="23">
        <f>IF(L15="",0,IFERROR(IF(ISNUMBER(SEARCH(E15,INDEX('В07 Каталог'!$D$5:$D$19,MATCH(L15,'В07 Каталог'!$B$5:$B$19,0)))),INDEX('В07 Каталог'!$F$5:$F$19,MATCH(L15,'В07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категорію",IF(AND(L15&lt;&gt;"",INDEX('В07 Каталог'!$H$5:$H$19,MATCH(L15,'В07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IF(L16="",0,IFERROR(IF(ISNUMBER(SEARCH(E16,INDEX('В07 Каталог'!$D$5:$D$19,MATCH(L16,'В07 Каталог'!$B$5:$B$19,0)))),INDEX('В07 Каталог'!$E$5:$E$19,MATCH(L16,'В07 Каталог'!$B$5:$B$19,0)),0),0))</f>
        <v/>
      </c>
      <c r="N16" s="23">
        <f>IF(L16="",0,IFERROR(IF(ISNUMBER(SEARCH(E16,INDEX('В07 Каталог'!$D$5:$D$19,MATCH(L16,'В07 Каталог'!$B$5:$B$19,0)))),INDEX('В07 Каталог'!$F$5:$F$19,MATCH(L16,'В07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категорію",IF(AND(L16&lt;&gt;"",INDEX('В07 Каталог'!$H$5:$H$19,MATCH(L16,'В07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IF(L17="",0,IFERROR(IF(ISNUMBER(SEARCH(E17,INDEX('В07 Каталог'!$D$5:$D$19,MATCH(L17,'В07 Каталог'!$B$5:$B$19,0)))),INDEX('В07 Каталог'!$E$5:$E$19,MATCH(L17,'В07 Каталог'!$B$5:$B$19,0)),0),0))</f>
        <v/>
      </c>
      <c r="N17" s="23">
        <f>IF(L17="",0,IFERROR(IF(ISNUMBER(SEARCH(E17,INDEX('В07 Каталог'!$D$5:$D$19,MATCH(L17,'В07 Каталог'!$B$5:$B$19,0)))),INDEX('В07 Каталог'!$F$5:$F$19,MATCH(L17,'В07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категорію",IF(AND(L17&lt;&gt;"",INDEX('В07 Каталог'!$H$5:$H$19,MATCH(L17,'В07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IF(L18="",0,IFERROR(IF(ISNUMBER(SEARCH(E18,INDEX('В07 Каталог'!$D$5:$D$19,MATCH(L18,'В07 Каталог'!$B$5:$B$19,0)))),INDEX('В07 Каталог'!$E$5:$E$19,MATCH(L18,'В07 Каталог'!$B$5:$B$19,0)),0),0))</f>
        <v/>
      </c>
      <c r="N18" s="23">
        <f>IF(L18="",0,IFERROR(IF(ISNUMBER(SEARCH(E18,INDEX('В07 Каталог'!$D$5:$D$19,MATCH(L18,'В07 Каталог'!$B$5:$B$19,0)))),INDEX('В07 Каталог'!$F$5:$F$19,MATCH(L18,'В07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категорію",IF(AND(L18&lt;&gt;"",INDEX('В07 Каталог'!$H$5:$H$19,MATCH(L18,'В07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IF(L19="",0,IFERROR(IF(ISNUMBER(SEARCH(E19,INDEX('В07 Каталог'!$D$5:$D$19,MATCH(L19,'В07 Каталог'!$B$5:$B$19,0)))),INDEX('В07 Каталог'!$E$5:$E$19,MATCH(L19,'В07 Каталог'!$B$5:$B$19,0)),0),0))</f>
        <v/>
      </c>
      <c r="N19" s="23">
        <f>IF(L19="",0,IFERROR(IF(ISNUMBER(SEARCH(E19,INDEX('В07 Каталог'!$D$5:$D$19,MATCH(L19,'В07 Каталог'!$B$5:$B$19,0)))),INDEX('В07 Каталог'!$F$5:$F$19,MATCH(L19,'В07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категорію",IF(AND(L19&lt;&gt;"",INDEX('В07 Каталог'!$H$5:$H$19,MATCH(L19,'В07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IF(L20="",0,IFERROR(IF(ISNUMBER(SEARCH(E20,INDEX('В07 Каталог'!$D$5:$D$19,MATCH(L20,'В07 Каталог'!$B$5:$B$19,0)))),INDEX('В07 Каталог'!$E$5:$E$19,MATCH(L20,'В07 Каталог'!$B$5:$B$19,0)),0),0))</f>
        <v/>
      </c>
      <c r="N20" s="23">
        <f>IF(L20="",0,IFERROR(IF(ISNUMBER(SEARCH(E20,INDEX('В07 Каталог'!$D$5:$D$19,MATCH(L20,'В07 Каталог'!$B$5:$B$19,0)))),INDEX('В07 Каталог'!$F$5:$F$19,MATCH(L20,'В07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категорію",IF(AND(L20&lt;&gt;"",INDEX('В07 Каталог'!$H$5:$H$19,MATCH(L20,'В07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IF(L21="",0,IFERROR(IF(ISNUMBER(SEARCH(E21,INDEX('В07 Каталог'!$D$5:$D$19,MATCH(L21,'В07 Каталог'!$B$5:$B$19,0)))),INDEX('В07 Каталог'!$E$5:$E$19,MATCH(L21,'В07 Каталог'!$B$5:$B$19,0)),0),0))</f>
        <v/>
      </c>
      <c r="N21" s="23">
        <f>IF(L21="",0,IFERROR(IF(ISNUMBER(SEARCH(E21,INDEX('В07 Каталог'!$D$5:$D$19,MATCH(L21,'В07 Каталог'!$B$5:$B$19,0)))),INDEX('В07 Каталог'!$F$5:$F$19,MATCH(L21,'В07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категорію",IF(AND(L21&lt;&gt;"",INDEX('В07 Каталог'!$H$5:$H$19,MATCH(L21,'В07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IF(L22="",0,IFERROR(IF(ISNUMBER(SEARCH(E22,INDEX('В07 Каталог'!$D$5:$D$19,MATCH(L22,'В07 Каталог'!$B$5:$B$19,0)))),INDEX('В07 Каталог'!$E$5:$E$19,MATCH(L22,'В07 Каталог'!$B$5:$B$19,0)),0),0))</f>
        <v/>
      </c>
      <c r="N22" s="23">
        <f>IF(L22="",0,IFERROR(IF(ISNUMBER(SEARCH(E22,INDEX('В07 Каталог'!$D$5:$D$19,MATCH(L22,'В07 Каталог'!$B$5:$B$19,0)))),INDEX('В07 Каталог'!$F$5:$F$19,MATCH(L22,'В07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категорію",IF(AND(L22&lt;&gt;"",INDEX('В07 Каталог'!$H$5:$H$19,MATCH(L22,'В07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IF(L23="",0,IFERROR(IF(ISNUMBER(SEARCH(E23,INDEX('В07 Каталог'!$D$5:$D$19,MATCH(L23,'В07 Каталог'!$B$5:$B$19,0)))),INDEX('В07 Каталог'!$E$5:$E$19,MATCH(L23,'В07 Каталог'!$B$5:$B$19,0)),0),0))</f>
        <v/>
      </c>
      <c r="N23" s="23">
        <f>IF(L23="",0,IFERROR(IF(ISNUMBER(SEARCH(E23,INDEX('В07 Каталог'!$D$5:$D$19,MATCH(L23,'В07 Каталог'!$B$5:$B$19,0)))),INDEX('В07 Каталог'!$F$5:$F$19,MATCH(L23,'В07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категорію",IF(AND(L23&lt;&gt;"",INDEX('В07 Каталог'!$H$5:$H$19,MATCH(L23,'В07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IF(L24="",0,IFERROR(IF(ISNUMBER(SEARCH(E24,INDEX('В07 Каталог'!$D$5:$D$19,MATCH(L24,'В07 Каталог'!$B$5:$B$19,0)))),INDEX('В07 Каталог'!$E$5:$E$19,MATCH(L24,'В07 Каталог'!$B$5:$B$19,0)),0),0))</f>
        <v/>
      </c>
      <c r="N24" s="23">
        <f>IF(L24="",0,IFERROR(IF(ISNUMBER(SEARCH(E24,INDEX('В07 Каталог'!$D$5:$D$19,MATCH(L24,'В07 Каталог'!$B$5:$B$19,0)))),INDEX('В07 Каталог'!$F$5:$F$19,MATCH(L24,'В07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категорію",IF(AND(L24&lt;&gt;"",INDEX('В07 Каталог'!$H$5:$H$19,MATCH(L24,'В07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='В07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='В07 Каталог'!$B$5:$B$19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833C0B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COUNTIFS('В07 Ризики'!$F$5:$F$24,1,'В07 Ризики'!$G$5:$G$24,5)</f>
        <v/>
      </c>
      <c r="C6" s="26">
        <f>COUNTIFS('В07 Ризики'!$F$5:$F$24,2,'В07 Ризики'!$G$5:$G$24,5)</f>
        <v/>
      </c>
      <c r="D6" s="26">
        <f>COUNTIFS('В07 Ризики'!$F$5:$F$24,3,'В07 Ризики'!$G$5:$G$24,5)</f>
        <v/>
      </c>
      <c r="E6" s="27">
        <f>COUNTIFS('В07 Ризики'!$F$5:$F$24,4,'В07 Ризики'!$G$5:$G$24,5)</f>
        <v/>
      </c>
      <c r="F6" s="27">
        <f>COUNTIFS('В07 Ризики'!$F$5:$F$24,5,'В07 Ризики'!$G$5:$G$24,5)</f>
        <v/>
      </c>
      <c r="I6" s="24" t="inlineStr">
        <is>
          <t>C = 5</t>
        </is>
      </c>
      <c r="J6" s="25">
        <f>COUNTIFS('В07 Ризики'!$O$5:$O$24,1,'В07 Ризики'!$P$5:$P$24,5)</f>
        <v/>
      </c>
      <c r="K6" s="26">
        <f>COUNTIFS('В07 Ризики'!$O$5:$O$24,2,'В07 Ризики'!$P$5:$P$24,5)</f>
        <v/>
      </c>
      <c r="L6" s="26">
        <f>COUNTIFS('В07 Ризики'!$O$5:$O$24,3,'В07 Ризики'!$P$5:$P$24,5)</f>
        <v/>
      </c>
      <c r="M6" s="27">
        <f>COUNTIFS('В07 Ризики'!$O$5:$O$24,4,'В07 Ризики'!$P$5:$P$24,5)</f>
        <v/>
      </c>
      <c r="N6" s="27">
        <f>COUNTIFS('В07 Ризики'!$O$5:$O$24,5,'В07 Ризики'!$P$5:$P$24,5)</f>
        <v/>
      </c>
    </row>
    <row r="7" ht="34" customHeight="1">
      <c r="A7" s="24" t="inlineStr">
        <is>
          <t>C = 4</t>
        </is>
      </c>
      <c r="B7" s="28">
        <f>COUNTIFS('В07 Ризики'!$F$5:$F$24,1,'В07 Ризики'!$G$5:$G$24,4)</f>
        <v/>
      </c>
      <c r="C7" s="25">
        <f>COUNTIFS('В07 Ризики'!$F$5:$F$24,2,'В07 Ризики'!$G$5:$G$24,4)</f>
        <v/>
      </c>
      <c r="D7" s="26">
        <f>COUNTIFS('В07 Ризики'!$F$5:$F$24,3,'В07 Ризики'!$G$5:$G$24,4)</f>
        <v/>
      </c>
      <c r="E7" s="26">
        <f>COUNTIFS('В07 Ризики'!$F$5:$F$24,4,'В07 Ризики'!$G$5:$G$24,4)</f>
        <v/>
      </c>
      <c r="F7" s="27">
        <f>COUNTIFS('В07 Ризики'!$F$5:$F$24,5,'В07 Ризики'!$G$5:$G$24,4)</f>
        <v/>
      </c>
      <c r="I7" s="24" t="inlineStr">
        <is>
          <t>C = 4</t>
        </is>
      </c>
      <c r="J7" s="28">
        <f>COUNTIFS('В07 Ризики'!$O$5:$O$24,1,'В07 Ризики'!$P$5:$P$24,4)</f>
        <v/>
      </c>
      <c r="K7" s="25">
        <f>COUNTIFS('В07 Ризики'!$O$5:$O$24,2,'В07 Ризики'!$P$5:$P$24,4)</f>
        <v/>
      </c>
      <c r="L7" s="26">
        <f>COUNTIFS('В07 Ризики'!$O$5:$O$24,3,'В07 Ризики'!$P$5:$P$24,4)</f>
        <v/>
      </c>
      <c r="M7" s="26">
        <f>COUNTIFS('В07 Ризики'!$O$5:$O$24,4,'В07 Ризики'!$P$5:$P$24,4)</f>
        <v/>
      </c>
      <c r="N7" s="27">
        <f>COUNTIFS('В07 Ризики'!$O$5:$O$24,5,'В07 Ризики'!$P$5:$P$24,4)</f>
        <v/>
      </c>
    </row>
    <row r="8" ht="34" customHeight="1">
      <c r="A8" s="24" t="inlineStr">
        <is>
          <t>C = 3</t>
        </is>
      </c>
      <c r="B8" s="28">
        <f>COUNTIFS('В07 Ризики'!$F$5:$F$24,1,'В07 Ризики'!$G$5:$G$24,3)</f>
        <v/>
      </c>
      <c r="C8" s="25">
        <f>COUNTIFS('В07 Ризики'!$F$5:$F$24,2,'В07 Ризики'!$G$5:$G$24,3)</f>
        <v/>
      </c>
      <c r="D8" s="25">
        <f>COUNTIFS('В07 Ризики'!$F$5:$F$24,3,'В07 Ризики'!$G$5:$G$24,3)</f>
        <v/>
      </c>
      <c r="E8" s="26">
        <f>COUNTIFS('В07 Ризики'!$F$5:$F$24,4,'В07 Ризики'!$G$5:$G$24,3)</f>
        <v/>
      </c>
      <c r="F8" s="26">
        <f>COUNTIFS('В07 Ризики'!$F$5:$F$24,5,'В07 Ризики'!$G$5:$G$24,3)</f>
        <v/>
      </c>
      <c r="I8" s="24" t="inlineStr">
        <is>
          <t>C = 3</t>
        </is>
      </c>
      <c r="J8" s="28">
        <f>COUNTIFS('В07 Ризики'!$O$5:$O$24,1,'В07 Ризики'!$P$5:$P$24,3)</f>
        <v/>
      </c>
      <c r="K8" s="25">
        <f>COUNTIFS('В07 Ризики'!$O$5:$O$24,2,'В07 Ризики'!$P$5:$P$24,3)</f>
        <v/>
      </c>
      <c r="L8" s="25">
        <f>COUNTIFS('В07 Ризики'!$O$5:$O$24,3,'В07 Ризики'!$P$5:$P$24,3)</f>
        <v/>
      </c>
      <c r="M8" s="26">
        <f>COUNTIFS('В07 Ризики'!$O$5:$O$24,4,'В07 Ризики'!$P$5:$P$24,3)</f>
        <v/>
      </c>
      <c r="N8" s="26">
        <f>COUNTIFS('В07 Ризики'!$O$5:$O$24,5,'В07 Ризики'!$P$5:$P$24,3)</f>
        <v/>
      </c>
    </row>
    <row r="9" ht="34" customHeight="1">
      <c r="A9" s="24" t="inlineStr">
        <is>
          <t>C = 2</t>
        </is>
      </c>
      <c r="B9" s="28">
        <f>COUNTIFS('В07 Ризики'!$F$5:$F$24,1,'В07 Ризики'!$G$5:$G$24,2)</f>
        <v/>
      </c>
      <c r="C9" s="28">
        <f>COUNTIFS('В07 Ризики'!$F$5:$F$24,2,'В07 Ризики'!$G$5:$G$24,2)</f>
        <v/>
      </c>
      <c r="D9" s="25">
        <f>COUNTIFS('В07 Ризики'!$F$5:$F$24,3,'В07 Ризики'!$G$5:$G$24,2)</f>
        <v/>
      </c>
      <c r="E9" s="25">
        <f>COUNTIFS('В07 Ризики'!$F$5:$F$24,4,'В07 Ризики'!$G$5:$G$24,2)</f>
        <v/>
      </c>
      <c r="F9" s="26">
        <f>COUNTIFS('В07 Ризики'!$F$5:$F$24,5,'В07 Ризики'!$G$5:$G$24,2)</f>
        <v/>
      </c>
      <c r="I9" s="24" t="inlineStr">
        <is>
          <t>C = 2</t>
        </is>
      </c>
      <c r="J9" s="28">
        <f>COUNTIFS('В07 Ризики'!$O$5:$O$24,1,'В07 Ризики'!$P$5:$P$24,2)</f>
        <v/>
      </c>
      <c r="K9" s="28">
        <f>COUNTIFS('В07 Ризики'!$O$5:$O$24,2,'В07 Ризики'!$P$5:$P$24,2)</f>
        <v/>
      </c>
      <c r="L9" s="25">
        <f>COUNTIFS('В07 Ризики'!$O$5:$O$24,3,'В07 Ризики'!$P$5:$P$24,2)</f>
        <v/>
      </c>
      <c r="M9" s="25">
        <f>COUNTIFS('В07 Ризики'!$O$5:$O$24,4,'В07 Ризики'!$P$5:$P$24,2)</f>
        <v/>
      </c>
      <c r="N9" s="26">
        <f>COUNTIFS('В07 Ризики'!$O$5:$O$24,5,'В07 Ризики'!$P$5:$P$24,2)</f>
        <v/>
      </c>
    </row>
    <row r="10" ht="34" customHeight="1">
      <c r="A10" s="24" t="inlineStr">
        <is>
          <t>C = 1</t>
        </is>
      </c>
      <c r="B10" s="28">
        <f>COUNTIFS('В07 Ризики'!$F$5:$F$24,1,'В07 Ризики'!$G$5:$G$24,1)</f>
        <v/>
      </c>
      <c r="C10" s="28">
        <f>COUNTIFS('В07 Ризики'!$F$5:$F$24,2,'В07 Ризики'!$G$5:$G$24,1)</f>
        <v/>
      </c>
      <c r="D10" s="28">
        <f>COUNTIFS('В07 Ризики'!$F$5:$F$24,3,'В07 Ризики'!$G$5:$G$24,1)</f>
        <v/>
      </c>
      <c r="E10" s="28">
        <f>COUNTIFS('В07 Ризики'!$F$5:$F$24,4,'В07 Ризики'!$G$5:$G$24,1)</f>
        <v/>
      </c>
      <c r="F10" s="25">
        <f>COUNTIFS('В07 Ризики'!$F$5:$F$24,5,'В07 Ризики'!$G$5:$G$24,1)</f>
        <v/>
      </c>
      <c r="I10" s="24" t="inlineStr">
        <is>
          <t>C = 1</t>
        </is>
      </c>
      <c r="J10" s="28">
        <f>COUNTIFS('В07 Ризики'!$O$5:$O$24,1,'В07 Ризики'!$P$5:$P$24,1)</f>
        <v/>
      </c>
      <c r="K10" s="28">
        <f>COUNTIFS('В07 Ризики'!$O$5:$O$24,2,'В07 Ризики'!$P$5:$P$24,1)</f>
        <v/>
      </c>
      <c r="L10" s="28">
        <f>COUNTIFS('В07 Ризики'!$O$5:$O$24,3,'В07 Ризики'!$P$5:$P$24,1)</f>
        <v/>
      </c>
      <c r="M10" s="28">
        <f>COUNTIFS('В07 Ризики'!$O$5:$O$24,4,'В07 Ризики'!$P$5:$P$24,1)</f>
        <v/>
      </c>
      <c r="N10" s="25">
        <f>COUNTIFS('В07 Ризики'!$O$5:$O$24,5,'В07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833C0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SUM('В07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SUM('В07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SUM('В07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COUNTIF('В07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SUMPRODUCT(('В07 Ризики'!J5:J24="Так")*('В07 Ризики'!R5:R24&lt;&gt;"ОК"))</f>
        <v/>
      </c>
    </row>
    <row r="13">
      <c r="A13" s="31" t="inlineStr">
        <is>
          <t>Ризики у реєстрі</t>
        </is>
      </c>
      <c r="B13" s="33">
        <f>COUNTA('В07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833C0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3A7D7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08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3A7D7B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08</t>
        </is>
      </c>
    </row>
    <row r="2"/>
    <row r="3">
      <c r="A3" s="10" t="inlineStr">
        <is>
          <t>Номер варіанта</t>
        </is>
      </c>
      <c r="B3" s="11" t="inlineStr">
        <is>
          <t>08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190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200</t>
        </is>
      </c>
    </row>
    <row r="12">
      <c r="A12" s="10" t="inlineStr">
        <is>
          <t>Резервне живлення</t>
        </is>
      </c>
      <c r="B12" s="11" t="inlineStr">
        <is>
          <t>без резерву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6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3</t>
        </is>
      </c>
    </row>
    <row r="16">
      <c r="A16" s="10" t="inlineStr">
        <is>
          <t>Особливий актив відділення</t>
        </is>
      </c>
      <c r="B16" s="11" t="inlineStr">
        <is>
          <t>Система контролю доступу (електронні замки) із ПЗ на старому ПК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3A7D7B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IF(COUNTIF('В08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IF(COUNTIF('В08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IF(COUNTIF('В08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IF(COUNTIF('В08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IF(COUNTIF('В08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IF(COUNTIF('В08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IF(COUNTIF('В08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IF(COUNTIF('В08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IF(COUNTIF('В08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IF(COUNTIF('В08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IF(COUNTIF('В08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IF(COUNTIF('В08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IF(COUNTIF('В08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IF(COUNTIF('В08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IF(COUNTIF('В08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3A7D7B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3A7D7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Серверна</t>
        </is>
      </c>
      <c r="C5" s="14" t="inlineStr">
        <is>
          <t>Пожежа в серверній</t>
        </is>
      </c>
      <c r="D5" s="14" t="inlineStr">
        <is>
          <t>немає автоматичного пожежогасіння</t>
        </is>
      </c>
      <c r="E5" s="14" t="n">
        <v>5</v>
      </c>
      <c r="F5" s="14" t="n">
        <v>5</v>
      </c>
      <c r="G5" s="14" t="inlineStr">
        <is>
          <t>За останні сім років було лише один такий випадок у нашій мережі</t>
        </is>
      </c>
    </row>
    <row r="6">
      <c r="A6" s="14" t="n">
        <v>2</v>
      </c>
      <c r="B6" s="14" t="inlineStr">
        <is>
          <t>Вуличний банкомат (готівка)</t>
        </is>
      </c>
      <c r="C6" s="14" t="inlineStr">
        <is>
          <t>Крадіжка готівки з вуличного банкомата</t>
        </is>
      </c>
      <c r="D6" s="14" t="inlineStr">
        <is>
          <t>камери немає, освітлення погане</t>
        </is>
      </c>
      <c r="E6" s="14" t="n">
        <v>4</v>
      </c>
      <c r="F6" s="14" t="n">
        <v>4</v>
      </c>
      <c r="G6" s="14" t="inlineStr">
        <is>
          <t>перший з двох записів про одне й те саме</t>
        </is>
      </c>
    </row>
    <row r="7">
      <c r="A7" s="14" t="n">
        <v>3</v>
      </c>
      <c r="B7" s="14" t="inlineStr">
        <is>
          <t>Серверна й обладнання відділення</t>
        </is>
      </c>
      <c r="C7" s="14" t="inlineStr">
        <is>
          <t>Зловживання правами недобросовісним співробітником</t>
        </is>
      </c>
      <c r="D7" s="14" t="inlineStr">
        <is>
          <t>права адміністратора в кількох працівників, журнали не переглядають</t>
        </is>
      </c>
      <c r="E7" s="14" t="n">
        <v>2</v>
      </c>
      <c r="F7" s="14" t="n">
        <v>4</v>
      </c>
      <c r="G7" s="14" t="inlineStr">
        <is>
          <t>оцінено за політикою доступу</t>
        </is>
      </c>
    </row>
    <row r="8">
      <c r="A8" s="14" t="n">
        <v>4</v>
      </c>
      <c r="B8" s="14" t="inlineStr">
        <is>
          <t>Вуличний банкомат (готівка)</t>
        </is>
      </c>
      <c r="C8" s="14" t="inlineStr">
        <is>
          <t>Злам банкомата з метою вилучення готівки</t>
        </is>
      </c>
      <c r="D8" s="14" t="inlineStr">
        <is>
          <t>камери немає, освітлення погане</t>
        </is>
      </c>
      <c r="E8" s="14" t="n">
        <v>4</v>
      </c>
      <c r="F8" s="14" t="n">
        <v>4</v>
      </c>
      <c r="G8" s="14" t="inlineStr">
        <is>
          <t>другий запис, інші слова</t>
        </is>
      </c>
    </row>
    <row r="9">
      <c r="A9" s="14" t="n">
        <v>5</v>
      </c>
      <c r="B9" s="14" t="inlineStr">
        <is>
          <t>Вуличний банкомат (картки клієнтів)</t>
        </is>
      </c>
      <c r="C9" s="14" t="inlineStr">
        <is>
          <t>Встановлення скімера й масове копіювання карток</t>
        </is>
      </c>
      <c r="D9" s="14" t="inlineStr">
        <is>
          <t>камери немає, освітлення добре</t>
        </is>
      </c>
      <c r="E9" s="14" t="n">
        <v>3</v>
      </c>
      <c r="F9" s="14" t="n">
        <v>4</v>
      </c>
      <c r="G9" s="14" t="inlineStr">
        <is>
          <t>оцінено за даними профілю</t>
        </is>
      </c>
    </row>
    <row r="10">
      <c r="A10" s="14" t="n">
        <v>6</v>
      </c>
      <c r="B10" s="14" t="n"/>
      <c r="C10" s="14" t="inlineStr">
        <is>
          <t>Фішинг</t>
        </is>
      </c>
      <c r="D10" s="14" t="n"/>
      <c r="E10" s="14" t="n">
        <v>4</v>
      </c>
      <c r="F10" s="14" t="n">
        <v>4</v>
      </c>
      <c r="G10" s="14" t="inlineStr">
        <is>
          <t>Дуже небезпечно, треба бачити</t>
        </is>
      </c>
    </row>
    <row r="11">
      <c r="A11" s="14" t="n">
        <v>7</v>
      </c>
      <c r="B11" s="14" t="inlineStr">
        <is>
          <t>Канал зв'язку з головним офісом</t>
        </is>
      </c>
      <c r="C11" s="14" t="inlineStr">
        <is>
          <t>Відмова каналу до головного офісу</t>
        </is>
      </c>
      <c r="D11" s="14" t="inlineStr">
        <is>
          <t>два канали</t>
        </is>
      </c>
      <c r="E11" s="14" t="n">
        <v>2</v>
      </c>
      <c r="F11" s="14" t="n">
        <v>3</v>
      </c>
      <c r="G11" s="14" t="inlineStr">
        <is>
          <t>оцінено за даними профілю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3A7D7B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IF(L5="",0,IFERROR(IF(ISNUMBER(SEARCH(E5,INDEX('В08 Каталог'!$D$5:$D$19,MATCH(L5,'В08 Каталог'!$B$5:$B$19,0)))),INDEX('В08 Каталог'!$E$5:$E$19,MATCH(L5,'В08 Каталог'!$B$5:$B$19,0)),0),0))</f>
        <v/>
      </c>
      <c r="N5" s="23">
        <f>IF(L5="",0,IFERROR(IF(ISNUMBER(SEARCH(E5,INDEX('В08 Каталог'!$D$5:$D$19,MATCH(L5,'В08 Каталог'!$B$5:$B$19,0)))),INDEX('В08 Каталог'!$F$5:$F$19,MATCH(L5,'В08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категорію",IF(AND(L5&lt;&gt;"",INDEX('В08 Каталог'!$H$5:$H$19,MATCH(L5,'В08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IF(L6="",0,IFERROR(IF(ISNUMBER(SEARCH(E6,INDEX('В08 Каталог'!$D$5:$D$19,MATCH(L6,'В08 Каталог'!$B$5:$B$19,0)))),INDEX('В08 Каталог'!$E$5:$E$19,MATCH(L6,'В08 Каталог'!$B$5:$B$19,0)),0),0))</f>
        <v/>
      </c>
      <c r="N6" s="23">
        <f>IF(L6="",0,IFERROR(IF(ISNUMBER(SEARCH(E6,INDEX('В08 Каталог'!$D$5:$D$19,MATCH(L6,'В08 Каталог'!$B$5:$B$19,0)))),INDEX('В08 Каталог'!$F$5:$F$19,MATCH(L6,'В08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категорію",IF(AND(L6&lt;&gt;"",INDEX('В08 Каталог'!$H$5:$H$19,MATCH(L6,'В08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IF(L7="",0,IFERROR(IF(ISNUMBER(SEARCH(E7,INDEX('В08 Каталог'!$D$5:$D$19,MATCH(L7,'В08 Каталог'!$B$5:$B$19,0)))),INDEX('В08 Каталог'!$E$5:$E$19,MATCH(L7,'В08 Каталог'!$B$5:$B$19,0)),0),0))</f>
        <v/>
      </c>
      <c r="N7" s="23">
        <f>IF(L7="",0,IFERROR(IF(ISNUMBER(SEARCH(E7,INDEX('В08 Каталог'!$D$5:$D$19,MATCH(L7,'В08 Каталог'!$B$5:$B$19,0)))),INDEX('В08 Каталог'!$F$5:$F$19,MATCH(L7,'В08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категорію",IF(AND(L7&lt;&gt;"",INDEX('В08 Каталог'!$H$5:$H$19,MATCH(L7,'В08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IF(L8="",0,IFERROR(IF(ISNUMBER(SEARCH(E8,INDEX('В08 Каталог'!$D$5:$D$19,MATCH(L8,'В08 Каталог'!$B$5:$B$19,0)))),INDEX('В08 Каталог'!$E$5:$E$19,MATCH(L8,'В08 Каталог'!$B$5:$B$19,0)),0),0))</f>
        <v/>
      </c>
      <c r="N8" s="23">
        <f>IF(L8="",0,IFERROR(IF(ISNUMBER(SEARCH(E8,INDEX('В08 Каталог'!$D$5:$D$19,MATCH(L8,'В08 Каталог'!$B$5:$B$19,0)))),INDEX('В08 Каталог'!$F$5:$F$19,MATCH(L8,'В08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категорію",IF(AND(L8&lt;&gt;"",INDEX('В08 Каталог'!$H$5:$H$19,MATCH(L8,'В08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IF(L9="",0,IFERROR(IF(ISNUMBER(SEARCH(E9,INDEX('В08 Каталог'!$D$5:$D$19,MATCH(L9,'В08 Каталог'!$B$5:$B$19,0)))),INDEX('В08 Каталог'!$E$5:$E$19,MATCH(L9,'В08 Каталог'!$B$5:$B$19,0)),0),0))</f>
        <v/>
      </c>
      <c r="N9" s="23">
        <f>IF(L9="",0,IFERROR(IF(ISNUMBER(SEARCH(E9,INDEX('В08 Каталог'!$D$5:$D$19,MATCH(L9,'В08 Каталог'!$B$5:$B$19,0)))),INDEX('В08 Каталог'!$F$5:$F$19,MATCH(L9,'В08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категорію",IF(AND(L9&lt;&gt;"",INDEX('В08 Каталог'!$H$5:$H$19,MATCH(L9,'В08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IF(L10="",0,IFERROR(IF(ISNUMBER(SEARCH(E10,INDEX('В08 Каталог'!$D$5:$D$19,MATCH(L10,'В08 Каталог'!$B$5:$B$19,0)))),INDEX('В08 Каталог'!$E$5:$E$19,MATCH(L10,'В08 Каталог'!$B$5:$B$19,0)),0),0))</f>
        <v/>
      </c>
      <c r="N10" s="23">
        <f>IF(L10="",0,IFERROR(IF(ISNUMBER(SEARCH(E10,INDEX('В08 Каталог'!$D$5:$D$19,MATCH(L10,'В08 Каталог'!$B$5:$B$19,0)))),INDEX('В08 Каталог'!$F$5:$F$19,MATCH(L10,'В08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категорію",IF(AND(L10&lt;&gt;"",INDEX('В08 Каталог'!$H$5:$H$19,MATCH(L10,'В08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IF(L11="",0,IFERROR(IF(ISNUMBER(SEARCH(E11,INDEX('В08 Каталог'!$D$5:$D$19,MATCH(L11,'В08 Каталог'!$B$5:$B$19,0)))),INDEX('В08 Каталог'!$E$5:$E$19,MATCH(L11,'В08 Каталог'!$B$5:$B$19,0)),0),0))</f>
        <v/>
      </c>
      <c r="N11" s="23">
        <f>IF(L11="",0,IFERROR(IF(ISNUMBER(SEARCH(E11,INDEX('В08 Каталог'!$D$5:$D$19,MATCH(L11,'В08 Каталог'!$B$5:$B$19,0)))),INDEX('В08 Каталог'!$F$5:$F$19,MATCH(L11,'В08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категорію",IF(AND(L11&lt;&gt;"",INDEX('В08 Каталог'!$H$5:$H$19,MATCH(L11,'В08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IF(L12="",0,IFERROR(IF(ISNUMBER(SEARCH(E12,INDEX('В08 Каталог'!$D$5:$D$19,MATCH(L12,'В08 Каталог'!$B$5:$B$19,0)))),INDEX('В08 Каталог'!$E$5:$E$19,MATCH(L12,'В08 Каталог'!$B$5:$B$19,0)),0),0))</f>
        <v/>
      </c>
      <c r="N12" s="23">
        <f>IF(L12="",0,IFERROR(IF(ISNUMBER(SEARCH(E12,INDEX('В08 Каталог'!$D$5:$D$19,MATCH(L12,'В08 Каталог'!$B$5:$B$19,0)))),INDEX('В08 Каталог'!$F$5:$F$19,MATCH(L12,'В08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категорію",IF(AND(L12&lt;&gt;"",INDEX('В08 Каталог'!$H$5:$H$19,MATCH(L12,'В08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IF(L13="",0,IFERROR(IF(ISNUMBER(SEARCH(E13,INDEX('В08 Каталог'!$D$5:$D$19,MATCH(L13,'В08 Каталог'!$B$5:$B$19,0)))),INDEX('В08 Каталог'!$E$5:$E$19,MATCH(L13,'В08 Каталог'!$B$5:$B$19,0)),0),0))</f>
        <v/>
      </c>
      <c r="N13" s="23">
        <f>IF(L13="",0,IFERROR(IF(ISNUMBER(SEARCH(E13,INDEX('В08 Каталог'!$D$5:$D$19,MATCH(L13,'В08 Каталог'!$B$5:$B$19,0)))),INDEX('В08 Каталог'!$F$5:$F$19,MATCH(L13,'В08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категорію",IF(AND(L13&lt;&gt;"",INDEX('В08 Каталог'!$H$5:$H$19,MATCH(L13,'В08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IF(L14="",0,IFERROR(IF(ISNUMBER(SEARCH(E14,INDEX('В08 Каталог'!$D$5:$D$19,MATCH(L14,'В08 Каталог'!$B$5:$B$19,0)))),INDEX('В08 Каталог'!$E$5:$E$19,MATCH(L14,'В08 Каталог'!$B$5:$B$19,0)),0),0))</f>
        <v/>
      </c>
      <c r="N14" s="23">
        <f>IF(L14="",0,IFERROR(IF(ISNUMBER(SEARCH(E14,INDEX('В08 Каталог'!$D$5:$D$19,MATCH(L14,'В08 Каталог'!$B$5:$B$19,0)))),INDEX('В08 Каталог'!$F$5:$F$19,MATCH(L14,'В08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категорію",IF(AND(L14&lt;&gt;"",INDEX('В08 Каталог'!$H$5:$H$19,MATCH(L14,'В08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IF(L15="",0,IFERROR(IF(ISNUMBER(SEARCH(E15,INDEX('В08 Каталог'!$D$5:$D$19,MATCH(L15,'В08 Каталог'!$B$5:$B$19,0)))),INDEX('В08 Каталог'!$E$5:$E$19,MATCH(L15,'В08 Каталог'!$B$5:$B$19,0)),0),0))</f>
        <v/>
      </c>
      <c r="N15" s="23">
        <f>IF(L15="",0,IFERROR(IF(ISNUMBER(SEARCH(E15,INDEX('В08 Каталог'!$D$5:$D$19,MATCH(L15,'В08 Каталог'!$B$5:$B$19,0)))),INDEX('В08 Каталог'!$F$5:$F$19,MATCH(L15,'В08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категорію",IF(AND(L15&lt;&gt;"",INDEX('В08 Каталог'!$H$5:$H$19,MATCH(L15,'В08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IF(L16="",0,IFERROR(IF(ISNUMBER(SEARCH(E16,INDEX('В08 Каталог'!$D$5:$D$19,MATCH(L16,'В08 Каталог'!$B$5:$B$19,0)))),INDEX('В08 Каталог'!$E$5:$E$19,MATCH(L16,'В08 Каталог'!$B$5:$B$19,0)),0),0))</f>
        <v/>
      </c>
      <c r="N16" s="23">
        <f>IF(L16="",0,IFERROR(IF(ISNUMBER(SEARCH(E16,INDEX('В08 Каталог'!$D$5:$D$19,MATCH(L16,'В08 Каталог'!$B$5:$B$19,0)))),INDEX('В08 Каталог'!$F$5:$F$19,MATCH(L16,'В08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категорію",IF(AND(L16&lt;&gt;"",INDEX('В08 Каталог'!$H$5:$H$19,MATCH(L16,'В08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IF(L17="",0,IFERROR(IF(ISNUMBER(SEARCH(E17,INDEX('В08 Каталог'!$D$5:$D$19,MATCH(L17,'В08 Каталог'!$B$5:$B$19,0)))),INDEX('В08 Каталог'!$E$5:$E$19,MATCH(L17,'В08 Каталог'!$B$5:$B$19,0)),0),0))</f>
        <v/>
      </c>
      <c r="N17" s="23">
        <f>IF(L17="",0,IFERROR(IF(ISNUMBER(SEARCH(E17,INDEX('В08 Каталог'!$D$5:$D$19,MATCH(L17,'В08 Каталог'!$B$5:$B$19,0)))),INDEX('В08 Каталог'!$F$5:$F$19,MATCH(L17,'В08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категорію",IF(AND(L17&lt;&gt;"",INDEX('В08 Каталог'!$H$5:$H$19,MATCH(L17,'В08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IF(L18="",0,IFERROR(IF(ISNUMBER(SEARCH(E18,INDEX('В08 Каталог'!$D$5:$D$19,MATCH(L18,'В08 Каталог'!$B$5:$B$19,0)))),INDEX('В08 Каталог'!$E$5:$E$19,MATCH(L18,'В08 Каталог'!$B$5:$B$19,0)),0),0))</f>
        <v/>
      </c>
      <c r="N18" s="23">
        <f>IF(L18="",0,IFERROR(IF(ISNUMBER(SEARCH(E18,INDEX('В08 Каталог'!$D$5:$D$19,MATCH(L18,'В08 Каталог'!$B$5:$B$19,0)))),INDEX('В08 Каталог'!$F$5:$F$19,MATCH(L18,'В08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категорію",IF(AND(L18&lt;&gt;"",INDEX('В08 Каталог'!$H$5:$H$19,MATCH(L18,'В08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IF(L19="",0,IFERROR(IF(ISNUMBER(SEARCH(E19,INDEX('В08 Каталог'!$D$5:$D$19,MATCH(L19,'В08 Каталог'!$B$5:$B$19,0)))),INDEX('В08 Каталог'!$E$5:$E$19,MATCH(L19,'В08 Каталог'!$B$5:$B$19,0)),0),0))</f>
        <v/>
      </c>
      <c r="N19" s="23">
        <f>IF(L19="",0,IFERROR(IF(ISNUMBER(SEARCH(E19,INDEX('В08 Каталог'!$D$5:$D$19,MATCH(L19,'В08 Каталог'!$B$5:$B$19,0)))),INDEX('В08 Каталог'!$F$5:$F$19,MATCH(L19,'В08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категорію",IF(AND(L19&lt;&gt;"",INDEX('В08 Каталог'!$H$5:$H$19,MATCH(L19,'В08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IF(L20="",0,IFERROR(IF(ISNUMBER(SEARCH(E20,INDEX('В08 Каталог'!$D$5:$D$19,MATCH(L20,'В08 Каталог'!$B$5:$B$19,0)))),INDEX('В08 Каталог'!$E$5:$E$19,MATCH(L20,'В08 Каталог'!$B$5:$B$19,0)),0),0))</f>
        <v/>
      </c>
      <c r="N20" s="23">
        <f>IF(L20="",0,IFERROR(IF(ISNUMBER(SEARCH(E20,INDEX('В08 Каталог'!$D$5:$D$19,MATCH(L20,'В08 Каталог'!$B$5:$B$19,0)))),INDEX('В08 Каталог'!$F$5:$F$19,MATCH(L20,'В08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категорію",IF(AND(L20&lt;&gt;"",INDEX('В08 Каталог'!$H$5:$H$19,MATCH(L20,'В08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IF(L21="",0,IFERROR(IF(ISNUMBER(SEARCH(E21,INDEX('В08 Каталог'!$D$5:$D$19,MATCH(L21,'В08 Каталог'!$B$5:$B$19,0)))),INDEX('В08 Каталог'!$E$5:$E$19,MATCH(L21,'В08 Каталог'!$B$5:$B$19,0)),0),0))</f>
        <v/>
      </c>
      <c r="N21" s="23">
        <f>IF(L21="",0,IFERROR(IF(ISNUMBER(SEARCH(E21,INDEX('В08 Каталог'!$D$5:$D$19,MATCH(L21,'В08 Каталог'!$B$5:$B$19,0)))),INDEX('В08 Каталог'!$F$5:$F$19,MATCH(L21,'В08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категорію",IF(AND(L21&lt;&gt;"",INDEX('В08 Каталог'!$H$5:$H$19,MATCH(L21,'В08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IF(L22="",0,IFERROR(IF(ISNUMBER(SEARCH(E22,INDEX('В08 Каталог'!$D$5:$D$19,MATCH(L22,'В08 Каталог'!$B$5:$B$19,0)))),INDEX('В08 Каталог'!$E$5:$E$19,MATCH(L22,'В08 Каталог'!$B$5:$B$19,0)),0),0))</f>
        <v/>
      </c>
      <c r="N22" s="23">
        <f>IF(L22="",0,IFERROR(IF(ISNUMBER(SEARCH(E22,INDEX('В08 Каталог'!$D$5:$D$19,MATCH(L22,'В08 Каталог'!$B$5:$B$19,0)))),INDEX('В08 Каталог'!$F$5:$F$19,MATCH(L22,'В08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категорію",IF(AND(L22&lt;&gt;"",INDEX('В08 Каталог'!$H$5:$H$19,MATCH(L22,'В08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IF(L23="",0,IFERROR(IF(ISNUMBER(SEARCH(E23,INDEX('В08 Каталог'!$D$5:$D$19,MATCH(L23,'В08 Каталог'!$B$5:$B$19,0)))),INDEX('В08 Каталог'!$E$5:$E$19,MATCH(L23,'В08 Каталог'!$B$5:$B$19,0)),0),0))</f>
        <v/>
      </c>
      <c r="N23" s="23">
        <f>IF(L23="",0,IFERROR(IF(ISNUMBER(SEARCH(E23,INDEX('В08 Каталог'!$D$5:$D$19,MATCH(L23,'В08 Каталог'!$B$5:$B$19,0)))),INDEX('В08 Каталог'!$F$5:$F$19,MATCH(L23,'В08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категорію",IF(AND(L23&lt;&gt;"",INDEX('В08 Каталог'!$H$5:$H$19,MATCH(L23,'В08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IF(L24="",0,IFERROR(IF(ISNUMBER(SEARCH(E24,INDEX('В08 Каталог'!$D$5:$D$19,MATCH(L24,'В08 Каталог'!$B$5:$B$19,0)))),INDEX('В08 Каталог'!$E$5:$E$19,MATCH(L24,'В08 Каталог'!$B$5:$B$19,0)),0),0))</f>
        <v/>
      </c>
      <c r="N24" s="23">
        <f>IF(L24="",0,IFERROR(IF(ISNUMBER(SEARCH(E24,INDEX('В08 Каталог'!$D$5:$D$19,MATCH(L24,'В08 Каталог'!$B$5:$B$19,0)))),INDEX('В08 Каталог'!$F$5:$F$19,MATCH(L24,'В08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категорію",IF(AND(L24&lt;&gt;"",INDEX('В08 Каталог'!$H$5:$H$19,MATCH(L24,'В08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='В08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='В08 Каталог'!$B$5:$B$19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3A7D7B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COUNTIFS('В08 Ризики'!$F$5:$F$24,1,'В08 Ризики'!$G$5:$G$24,5)</f>
        <v/>
      </c>
      <c r="C6" s="26">
        <f>COUNTIFS('В08 Ризики'!$F$5:$F$24,2,'В08 Ризики'!$G$5:$G$24,5)</f>
        <v/>
      </c>
      <c r="D6" s="26">
        <f>COUNTIFS('В08 Ризики'!$F$5:$F$24,3,'В08 Ризики'!$G$5:$G$24,5)</f>
        <v/>
      </c>
      <c r="E6" s="27">
        <f>COUNTIFS('В08 Ризики'!$F$5:$F$24,4,'В08 Ризики'!$G$5:$G$24,5)</f>
        <v/>
      </c>
      <c r="F6" s="27">
        <f>COUNTIFS('В08 Ризики'!$F$5:$F$24,5,'В08 Ризики'!$G$5:$G$24,5)</f>
        <v/>
      </c>
      <c r="I6" s="24" t="inlineStr">
        <is>
          <t>C = 5</t>
        </is>
      </c>
      <c r="J6" s="25">
        <f>COUNTIFS('В08 Ризики'!$O$5:$O$24,1,'В08 Ризики'!$P$5:$P$24,5)</f>
        <v/>
      </c>
      <c r="K6" s="26">
        <f>COUNTIFS('В08 Ризики'!$O$5:$O$24,2,'В08 Ризики'!$P$5:$P$24,5)</f>
        <v/>
      </c>
      <c r="L6" s="26">
        <f>COUNTIFS('В08 Ризики'!$O$5:$O$24,3,'В08 Ризики'!$P$5:$P$24,5)</f>
        <v/>
      </c>
      <c r="M6" s="27">
        <f>COUNTIFS('В08 Ризики'!$O$5:$O$24,4,'В08 Ризики'!$P$5:$P$24,5)</f>
        <v/>
      </c>
      <c r="N6" s="27">
        <f>COUNTIFS('В08 Ризики'!$O$5:$O$24,5,'В08 Ризики'!$P$5:$P$24,5)</f>
        <v/>
      </c>
    </row>
    <row r="7" ht="34" customHeight="1">
      <c r="A7" s="24" t="inlineStr">
        <is>
          <t>C = 4</t>
        </is>
      </c>
      <c r="B7" s="28">
        <f>COUNTIFS('В08 Ризики'!$F$5:$F$24,1,'В08 Ризики'!$G$5:$G$24,4)</f>
        <v/>
      </c>
      <c r="C7" s="25">
        <f>COUNTIFS('В08 Ризики'!$F$5:$F$24,2,'В08 Ризики'!$G$5:$G$24,4)</f>
        <v/>
      </c>
      <c r="D7" s="26">
        <f>COUNTIFS('В08 Ризики'!$F$5:$F$24,3,'В08 Ризики'!$G$5:$G$24,4)</f>
        <v/>
      </c>
      <c r="E7" s="26">
        <f>COUNTIFS('В08 Ризики'!$F$5:$F$24,4,'В08 Ризики'!$G$5:$G$24,4)</f>
        <v/>
      </c>
      <c r="F7" s="27">
        <f>COUNTIFS('В08 Ризики'!$F$5:$F$24,5,'В08 Ризики'!$G$5:$G$24,4)</f>
        <v/>
      </c>
      <c r="I7" s="24" t="inlineStr">
        <is>
          <t>C = 4</t>
        </is>
      </c>
      <c r="J7" s="28">
        <f>COUNTIFS('В08 Ризики'!$O$5:$O$24,1,'В08 Ризики'!$P$5:$P$24,4)</f>
        <v/>
      </c>
      <c r="K7" s="25">
        <f>COUNTIFS('В08 Ризики'!$O$5:$O$24,2,'В08 Ризики'!$P$5:$P$24,4)</f>
        <v/>
      </c>
      <c r="L7" s="26">
        <f>COUNTIFS('В08 Ризики'!$O$5:$O$24,3,'В08 Ризики'!$P$5:$P$24,4)</f>
        <v/>
      </c>
      <c r="M7" s="26">
        <f>COUNTIFS('В08 Ризики'!$O$5:$O$24,4,'В08 Ризики'!$P$5:$P$24,4)</f>
        <v/>
      </c>
      <c r="N7" s="27">
        <f>COUNTIFS('В08 Ризики'!$O$5:$O$24,5,'В08 Ризики'!$P$5:$P$24,4)</f>
        <v/>
      </c>
    </row>
    <row r="8" ht="34" customHeight="1">
      <c r="A8" s="24" t="inlineStr">
        <is>
          <t>C = 3</t>
        </is>
      </c>
      <c r="B8" s="28">
        <f>COUNTIFS('В08 Ризики'!$F$5:$F$24,1,'В08 Ризики'!$G$5:$G$24,3)</f>
        <v/>
      </c>
      <c r="C8" s="25">
        <f>COUNTIFS('В08 Ризики'!$F$5:$F$24,2,'В08 Ризики'!$G$5:$G$24,3)</f>
        <v/>
      </c>
      <c r="D8" s="25">
        <f>COUNTIFS('В08 Ризики'!$F$5:$F$24,3,'В08 Ризики'!$G$5:$G$24,3)</f>
        <v/>
      </c>
      <c r="E8" s="26">
        <f>COUNTIFS('В08 Ризики'!$F$5:$F$24,4,'В08 Ризики'!$G$5:$G$24,3)</f>
        <v/>
      </c>
      <c r="F8" s="26">
        <f>COUNTIFS('В08 Ризики'!$F$5:$F$24,5,'В08 Ризики'!$G$5:$G$24,3)</f>
        <v/>
      </c>
      <c r="I8" s="24" t="inlineStr">
        <is>
          <t>C = 3</t>
        </is>
      </c>
      <c r="J8" s="28">
        <f>COUNTIFS('В08 Ризики'!$O$5:$O$24,1,'В08 Ризики'!$P$5:$P$24,3)</f>
        <v/>
      </c>
      <c r="K8" s="25">
        <f>COUNTIFS('В08 Ризики'!$O$5:$O$24,2,'В08 Ризики'!$P$5:$P$24,3)</f>
        <v/>
      </c>
      <c r="L8" s="25">
        <f>COUNTIFS('В08 Ризики'!$O$5:$O$24,3,'В08 Ризики'!$P$5:$P$24,3)</f>
        <v/>
      </c>
      <c r="M8" s="26">
        <f>COUNTIFS('В08 Ризики'!$O$5:$O$24,4,'В08 Ризики'!$P$5:$P$24,3)</f>
        <v/>
      </c>
      <c r="N8" s="26">
        <f>COUNTIFS('В08 Ризики'!$O$5:$O$24,5,'В08 Ризики'!$P$5:$P$24,3)</f>
        <v/>
      </c>
    </row>
    <row r="9" ht="34" customHeight="1">
      <c r="A9" s="24" t="inlineStr">
        <is>
          <t>C = 2</t>
        </is>
      </c>
      <c r="B9" s="28">
        <f>COUNTIFS('В08 Ризики'!$F$5:$F$24,1,'В08 Ризики'!$G$5:$G$24,2)</f>
        <v/>
      </c>
      <c r="C9" s="28">
        <f>COUNTIFS('В08 Ризики'!$F$5:$F$24,2,'В08 Ризики'!$G$5:$G$24,2)</f>
        <v/>
      </c>
      <c r="D9" s="25">
        <f>COUNTIFS('В08 Ризики'!$F$5:$F$24,3,'В08 Ризики'!$G$5:$G$24,2)</f>
        <v/>
      </c>
      <c r="E9" s="25">
        <f>COUNTIFS('В08 Ризики'!$F$5:$F$24,4,'В08 Ризики'!$G$5:$G$24,2)</f>
        <v/>
      </c>
      <c r="F9" s="26">
        <f>COUNTIFS('В08 Ризики'!$F$5:$F$24,5,'В08 Ризики'!$G$5:$G$24,2)</f>
        <v/>
      </c>
      <c r="I9" s="24" t="inlineStr">
        <is>
          <t>C = 2</t>
        </is>
      </c>
      <c r="J9" s="28">
        <f>COUNTIFS('В08 Ризики'!$O$5:$O$24,1,'В08 Ризики'!$P$5:$P$24,2)</f>
        <v/>
      </c>
      <c r="K9" s="28">
        <f>COUNTIFS('В08 Ризики'!$O$5:$O$24,2,'В08 Ризики'!$P$5:$P$24,2)</f>
        <v/>
      </c>
      <c r="L9" s="25">
        <f>COUNTIFS('В08 Ризики'!$O$5:$O$24,3,'В08 Ризики'!$P$5:$P$24,2)</f>
        <v/>
      </c>
      <c r="M9" s="25">
        <f>COUNTIFS('В08 Ризики'!$O$5:$O$24,4,'В08 Ризики'!$P$5:$P$24,2)</f>
        <v/>
      </c>
      <c r="N9" s="26">
        <f>COUNTIFS('В08 Ризики'!$O$5:$O$24,5,'В08 Ризики'!$P$5:$P$24,2)</f>
        <v/>
      </c>
    </row>
    <row r="10" ht="34" customHeight="1">
      <c r="A10" s="24" t="inlineStr">
        <is>
          <t>C = 1</t>
        </is>
      </c>
      <c r="B10" s="28">
        <f>COUNTIFS('В08 Ризики'!$F$5:$F$24,1,'В08 Ризики'!$G$5:$G$24,1)</f>
        <v/>
      </c>
      <c r="C10" s="28">
        <f>COUNTIFS('В08 Ризики'!$F$5:$F$24,2,'В08 Ризики'!$G$5:$G$24,1)</f>
        <v/>
      </c>
      <c r="D10" s="28">
        <f>COUNTIFS('В08 Ризики'!$F$5:$F$24,3,'В08 Ризики'!$G$5:$G$24,1)</f>
        <v/>
      </c>
      <c r="E10" s="28">
        <f>COUNTIFS('В08 Ризики'!$F$5:$F$24,4,'В08 Ризики'!$G$5:$G$24,1)</f>
        <v/>
      </c>
      <c r="F10" s="25">
        <f>COUNTIFS('В08 Ризики'!$F$5:$F$24,5,'В08 Ризики'!$G$5:$G$24,1)</f>
        <v/>
      </c>
      <c r="I10" s="24" t="inlineStr">
        <is>
          <t>C = 1</t>
        </is>
      </c>
      <c r="J10" s="28">
        <f>COUNTIFS('В08 Ризики'!$O$5:$O$24,1,'В08 Ризики'!$P$5:$P$24,1)</f>
        <v/>
      </c>
      <c r="K10" s="28">
        <f>COUNTIFS('В08 Ризики'!$O$5:$O$24,2,'В08 Ризики'!$P$5:$P$24,1)</f>
        <v/>
      </c>
      <c r="L10" s="28">
        <f>COUNTIFS('В08 Ризики'!$O$5:$O$24,3,'В08 Ризики'!$P$5:$P$24,1)</f>
        <v/>
      </c>
      <c r="M10" s="28">
        <f>COUNTIFS('В08 Ризики'!$O$5:$O$24,4,'В08 Ризики'!$P$5:$P$24,1)</f>
        <v/>
      </c>
      <c r="N10" s="25">
        <f>COUNTIFS('В08 Ризики'!$O$5:$O$24,5,'В08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003A7D7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SUM('В08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SUM('В08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SUM('В08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COUNTIF('В08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SUMPRODUCT(('В08 Ризики'!J5:J24="Так")*('В08 Ризики'!R5:R24&lt;&gt;"ОК"))</f>
        <v/>
      </c>
    </row>
    <row r="13">
      <c r="A13" s="31" t="inlineStr">
        <is>
          <t>Ризики у реєстрі</t>
        </is>
      </c>
      <c r="B13" s="33">
        <f>COUNTA('В08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3A7D7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00A61C5D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09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00A61C5D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09</t>
        </is>
      </c>
    </row>
    <row r="2"/>
    <row r="3">
      <c r="A3" s="10" t="inlineStr">
        <is>
          <t>Номер варіанта</t>
        </is>
      </c>
      <c r="B3" s="11" t="inlineStr">
        <is>
          <t>09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погане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520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170</t>
        </is>
      </c>
    </row>
    <row r="12">
      <c r="A12" s="10" t="inlineStr">
        <is>
          <t>Резервне живлення</t>
        </is>
      </c>
      <c r="B12" s="11" t="inlineStr">
        <is>
          <t>лише ДБЖ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0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2</t>
        </is>
      </c>
    </row>
    <row r="16">
      <c r="A16" s="10" t="inlineStr">
        <is>
          <t>Особливий актив відділення</t>
        </is>
      </c>
      <c r="B16" s="11" t="inlineStr">
        <is>
          <t>Віддалений доступ ІТ-підрядника до мережевого обладнання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00A61C5D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IF(COUNTIF('В09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IF(COUNTIF('В09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IF(COUNTIF('В09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IF(COUNTIF('В09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IF(COUNTIF('В09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IF(COUNTIF('В09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IF(COUNTIF('В09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IF(COUNTIF('В09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IF(COUNTIF('В09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IF(COUNTIF('В09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IF(COUNTIF('В09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IF(COUNTIF('В09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IF(COUNTIF('В09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IF(COUNTIF('В09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IF(COUNTIF('В09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tabColor rgb="00A61C5D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00A61C5D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Вуличний банкомат (готівка)</t>
        </is>
      </c>
      <c r="C5" s="14" t="inlineStr">
        <is>
          <t>Злам банкомата з метою вилучення готівки</t>
        </is>
      </c>
      <c r="D5" s="14" t="inlineStr">
        <is>
          <t>камери немає, освітлення погане</t>
        </is>
      </c>
      <c r="E5" s="14" t="n">
        <v>4</v>
      </c>
      <c r="F5" s="14" t="n">
        <v>4</v>
      </c>
      <c r="G5" s="14" t="inlineStr">
        <is>
          <t>другий запис, інші слова</t>
        </is>
      </c>
    </row>
    <row r="6">
      <c r="A6" s="14" t="n">
        <v>2</v>
      </c>
      <c r="B6" s="14" t="inlineStr">
        <is>
          <t>Вуличний банкомат (картки клієнтів)</t>
        </is>
      </c>
      <c r="C6" s="14" t="inlineStr">
        <is>
          <t>Встановлення скімера й масове копіювання карток</t>
        </is>
      </c>
      <c r="D6" s="14" t="inlineStr">
        <is>
          <t>камери немає, освітлення погане</t>
        </is>
      </c>
      <c r="E6" s="14" t="n">
        <v>4</v>
      </c>
      <c r="F6" s="14" t="n">
        <v>4</v>
      </c>
      <c r="G6" s="14" t="inlineStr">
        <is>
          <t>оцінено за даними профілю</t>
        </is>
      </c>
    </row>
    <row r="7">
      <c r="A7" s="14" t="n">
        <v>3</v>
      </c>
      <c r="B7" s="14" t="n"/>
      <c r="C7" s="14" t="inlineStr">
        <is>
          <t>Фішинг</t>
        </is>
      </c>
      <c r="D7" s="14" t="n"/>
      <c r="E7" s="14" t="n">
        <v>4</v>
      </c>
      <c r="F7" s="14" t="n">
        <v>4</v>
      </c>
      <c r="G7" s="14" t="inlineStr">
        <is>
          <t>Дуже небезпечно, треба бачити</t>
        </is>
      </c>
    </row>
    <row r="8">
      <c r="A8" s="14" t="n">
        <v>4</v>
      </c>
      <c r="B8" s="14" t="inlineStr">
        <is>
          <t>Канал зв'язку з головним офісом</t>
        </is>
      </c>
      <c r="C8" s="14" t="inlineStr">
        <is>
          <t>Відмова каналу до головного офісу</t>
        </is>
      </c>
      <c r="D8" s="14" t="inlineStr">
        <is>
          <t>два канали</t>
        </is>
      </c>
      <c r="E8" s="14" t="n">
        <v>2</v>
      </c>
      <c r="F8" s="14" t="n">
        <v>3</v>
      </c>
      <c r="G8" s="14" t="inlineStr">
        <is>
          <t>оцінено за даними профілю</t>
        </is>
      </c>
    </row>
    <row r="9">
      <c r="A9" s="14" t="n">
        <v>5</v>
      </c>
      <c r="B9" s="14" t="inlineStr">
        <is>
          <t>Серверна</t>
        </is>
      </c>
      <c r="C9" s="14" t="inlineStr">
        <is>
          <t>Пожежа в серверній</t>
        </is>
      </c>
      <c r="D9" s="14" t="inlineStr">
        <is>
          <t>немає автоматичного пожежогасіння</t>
        </is>
      </c>
      <c r="E9" s="14" t="n">
        <v>5</v>
      </c>
      <c r="F9" s="14" t="n">
        <v>5</v>
      </c>
      <c r="G9" s="14" t="inlineStr">
        <is>
          <t>За останні сім років було лише один такий випадок у нашій мережі</t>
        </is>
      </c>
    </row>
    <row r="10">
      <c r="A10" s="14" t="n">
        <v>6</v>
      </c>
      <c r="B10" s="14" t="inlineStr">
        <is>
          <t>Вуличний банкомат (готівка)</t>
        </is>
      </c>
      <c r="C10" s="14" t="inlineStr">
        <is>
          <t>Крадіжка готівки з вуличного банкомата</t>
        </is>
      </c>
      <c r="D10" s="14" t="inlineStr">
        <is>
          <t>камери немає, освітлення погане</t>
        </is>
      </c>
      <c r="E10" s="14" t="n">
        <v>4</v>
      </c>
      <c r="F10" s="14" t="n">
        <v>4</v>
      </c>
      <c r="G10" s="14" t="inlineStr">
        <is>
          <t>перший з двох записів про одне й те саме</t>
        </is>
      </c>
    </row>
    <row r="11">
      <c r="A11" s="14" t="n">
        <v>7</v>
      </c>
      <c r="B11" s="14" t="inlineStr">
        <is>
          <t>Серверна й обладнання відділення</t>
        </is>
      </c>
      <c r="C11" s="14" t="inlineStr">
        <is>
          <t>Зловживання правами недобросовісним співробітником</t>
        </is>
      </c>
      <c r="D11" s="14" t="inlineStr">
        <is>
          <t>права адміністратора в кількох працівників, журнали не переглядають</t>
        </is>
      </c>
      <c r="E11" s="14" t="n">
        <v>2</v>
      </c>
      <c r="F11" s="14" t="n">
        <v>4</v>
      </c>
      <c r="G11" s="14" t="inlineStr">
        <is>
          <t>оцінено за політикою доступу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00A61C5D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IF(L5="",0,IFERROR(IF(ISNUMBER(SEARCH(E5,INDEX('В09 Каталог'!$D$5:$D$19,MATCH(L5,'В09 Каталог'!$B$5:$B$19,0)))),INDEX('В09 Каталог'!$E$5:$E$19,MATCH(L5,'В09 Каталог'!$B$5:$B$19,0)),0),0))</f>
        <v/>
      </c>
      <c r="N5" s="23">
        <f>IF(L5="",0,IFERROR(IF(ISNUMBER(SEARCH(E5,INDEX('В09 Каталог'!$D$5:$D$19,MATCH(L5,'В09 Каталог'!$B$5:$B$19,0)))),INDEX('В09 Каталог'!$F$5:$F$19,MATCH(L5,'В09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категорію",IF(AND(L5&lt;&gt;"",INDEX('В09 Каталог'!$H$5:$H$19,MATCH(L5,'В09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IF(L6="",0,IFERROR(IF(ISNUMBER(SEARCH(E6,INDEX('В09 Каталог'!$D$5:$D$19,MATCH(L6,'В09 Каталог'!$B$5:$B$19,0)))),INDEX('В09 Каталог'!$E$5:$E$19,MATCH(L6,'В09 Каталог'!$B$5:$B$19,0)),0),0))</f>
        <v/>
      </c>
      <c r="N6" s="23">
        <f>IF(L6="",0,IFERROR(IF(ISNUMBER(SEARCH(E6,INDEX('В09 Каталог'!$D$5:$D$19,MATCH(L6,'В09 Каталог'!$B$5:$B$19,0)))),INDEX('В09 Каталог'!$F$5:$F$19,MATCH(L6,'В09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категорію",IF(AND(L6&lt;&gt;"",INDEX('В09 Каталог'!$H$5:$H$19,MATCH(L6,'В09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IF(L7="",0,IFERROR(IF(ISNUMBER(SEARCH(E7,INDEX('В09 Каталог'!$D$5:$D$19,MATCH(L7,'В09 Каталог'!$B$5:$B$19,0)))),INDEX('В09 Каталог'!$E$5:$E$19,MATCH(L7,'В09 Каталог'!$B$5:$B$19,0)),0),0))</f>
        <v/>
      </c>
      <c r="N7" s="23">
        <f>IF(L7="",0,IFERROR(IF(ISNUMBER(SEARCH(E7,INDEX('В09 Каталог'!$D$5:$D$19,MATCH(L7,'В09 Каталог'!$B$5:$B$19,0)))),INDEX('В09 Каталог'!$F$5:$F$19,MATCH(L7,'В09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категорію",IF(AND(L7&lt;&gt;"",INDEX('В09 Каталог'!$H$5:$H$19,MATCH(L7,'В09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IF(L8="",0,IFERROR(IF(ISNUMBER(SEARCH(E8,INDEX('В09 Каталог'!$D$5:$D$19,MATCH(L8,'В09 Каталог'!$B$5:$B$19,0)))),INDEX('В09 Каталог'!$E$5:$E$19,MATCH(L8,'В09 Каталог'!$B$5:$B$19,0)),0),0))</f>
        <v/>
      </c>
      <c r="N8" s="23">
        <f>IF(L8="",0,IFERROR(IF(ISNUMBER(SEARCH(E8,INDEX('В09 Каталог'!$D$5:$D$19,MATCH(L8,'В09 Каталог'!$B$5:$B$19,0)))),INDEX('В09 Каталог'!$F$5:$F$19,MATCH(L8,'В09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категорію",IF(AND(L8&lt;&gt;"",INDEX('В09 Каталог'!$H$5:$H$19,MATCH(L8,'В09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IF(L9="",0,IFERROR(IF(ISNUMBER(SEARCH(E9,INDEX('В09 Каталог'!$D$5:$D$19,MATCH(L9,'В09 Каталог'!$B$5:$B$19,0)))),INDEX('В09 Каталог'!$E$5:$E$19,MATCH(L9,'В09 Каталог'!$B$5:$B$19,0)),0),0))</f>
        <v/>
      </c>
      <c r="N9" s="23">
        <f>IF(L9="",0,IFERROR(IF(ISNUMBER(SEARCH(E9,INDEX('В09 Каталог'!$D$5:$D$19,MATCH(L9,'В09 Каталог'!$B$5:$B$19,0)))),INDEX('В09 Каталог'!$F$5:$F$19,MATCH(L9,'В09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категорію",IF(AND(L9&lt;&gt;"",INDEX('В09 Каталог'!$H$5:$H$19,MATCH(L9,'В09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IF(L10="",0,IFERROR(IF(ISNUMBER(SEARCH(E10,INDEX('В09 Каталог'!$D$5:$D$19,MATCH(L10,'В09 Каталог'!$B$5:$B$19,0)))),INDEX('В09 Каталог'!$E$5:$E$19,MATCH(L10,'В09 Каталог'!$B$5:$B$19,0)),0),0))</f>
        <v/>
      </c>
      <c r="N10" s="23">
        <f>IF(L10="",0,IFERROR(IF(ISNUMBER(SEARCH(E10,INDEX('В09 Каталог'!$D$5:$D$19,MATCH(L10,'В09 Каталог'!$B$5:$B$19,0)))),INDEX('В09 Каталог'!$F$5:$F$19,MATCH(L10,'В09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категорію",IF(AND(L10&lt;&gt;"",INDEX('В09 Каталог'!$H$5:$H$19,MATCH(L10,'В09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IF(L11="",0,IFERROR(IF(ISNUMBER(SEARCH(E11,INDEX('В09 Каталог'!$D$5:$D$19,MATCH(L11,'В09 Каталог'!$B$5:$B$19,0)))),INDEX('В09 Каталог'!$E$5:$E$19,MATCH(L11,'В09 Каталог'!$B$5:$B$19,0)),0),0))</f>
        <v/>
      </c>
      <c r="N11" s="23">
        <f>IF(L11="",0,IFERROR(IF(ISNUMBER(SEARCH(E11,INDEX('В09 Каталог'!$D$5:$D$19,MATCH(L11,'В09 Каталог'!$B$5:$B$19,0)))),INDEX('В09 Каталог'!$F$5:$F$19,MATCH(L11,'В09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категорію",IF(AND(L11&lt;&gt;"",INDEX('В09 Каталог'!$H$5:$H$19,MATCH(L11,'В09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IF(L12="",0,IFERROR(IF(ISNUMBER(SEARCH(E12,INDEX('В09 Каталог'!$D$5:$D$19,MATCH(L12,'В09 Каталог'!$B$5:$B$19,0)))),INDEX('В09 Каталог'!$E$5:$E$19,MATCH(L12,'В09 Каталог'!$B$5:$B$19,0)),0),0))</f>
        <v/>
      </c>
      <c r="N12" s="23">
        <f>IF(L12="",0,IFERROR(IF(ISNUMBER(SEARCH(E12,INDEX('В09 Каталог'!$D$5:$D$19,MATCH(L12,'В09 Каталог'!$B$5:$B$19,0)))),INDEX('В09 Каталог'!$F$5:$F$19,MATCH(L12,'В09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категорію",IF(AND(L12&lt;&gt;"",INDEX('В09 Каталог'!$H$5:$H$19,MATCH(L12,'В09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IF(L13="",0,IFERROR(IF(ISNUMBER(SEARCH(E13,INDEX('В09 Каталог'!$D$5:$D$19,MATCH(L13,'В09 Каталог'!$B$5:$B$19,0)))),INDEX('В09 Каталог'!$E$5:$E$19,MATCH(L13,'В09 Каталог'!$B$5:$B$19,0)),0),0))</f>
        <v/>
      </c>
      <c r="N13" s="23">
        <f>IF(L13="",0,IFERROR(IF(ISNUMBER(SEARCH(E13,INDEX('В09 Каталог'!$D$5:$D$19,MATCH(L13,'В09 Каталог'!$B$5:$B$19,0)))),INDEX('В09 Каталог'!$F$5:$F$19,MATCH(L13,'В09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категорію",IF(AND(L13&lt;&gt;"",INDEX('В09 Каталог'!$H$5:$H$19,MATCH(L13,'В09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IF(L14="",0,IFERROR(IF(ISNUMBER(SEARCH(E14,INDEX('В09 Каталог'!$D$5:$D$19,MATCH(L14,'В09 Каталог'!$B$5:$B$19,0)))),INDEX('В09 Каталог'!$E$5:$E$19,MATCH(L14,'В09 Каталог'!$B$5:$B$19,0)),0),0))</f>
        <v/>
      </c>
      <c r="N14" s="23">
        <f>IF(L14="",0,IFERROR(IF(ISNUMBER(SEARCH(E14,INDEX('В09 Каталог'!$D$5:$D$19,MATCH(L14,'В09 Каталог'!$B$5:$B$19,0)))),INDEX('В09 Каталог'!$F$5:$F$19,MATCH(L14,'В09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категорію",IF(AND(L14&lt;&gt;"",INDEX('В09 Каталог'!$H$5:$H$19,MATCH(L14,'В09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IF(L15="",0,IFERROR(IF(ISNUMBER(SEARCH(E15,INDEX('В09 Каталог'!$D$5:$D$19,MATCH(L15,'В09 Каталог'!$B$5:$B$19,0)))),INDEX('В09 Каталог'!$E$5:$E$19,MATCH(L15,'В09 Каталог'!$B$5:$B$19,0)),0),0))</f>
        <v/>
      </c>
      <c r="N15" s="23">
        <f>IF(L15="",0,IFERROR(IF(ISNUMBER(SEARCH(E15,INDEX('В09 Каталог'!$D$5:$D$19,MATCH(L15,'В09 Каталог'!$B$5:$B$19,0)))),INDEX('В09 Каталог'!$F$5:$F$19,MATCH(L15,'В09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категорію",IF(AND(L15&lt;&gt;"",INDEX('В09 Каталог'!$H$5:$H$19,MATCH(L15,'В09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IF(L16="",0,IFERROR(IF(ISNUMBER(SEARCH(E16,INDEX('В09 Каталог'!$D$5:$D$19,MATCH(L16,'В09 Каталог'!$B$5:$B$19,0)))),INDEX('В09 Каталог'!$E$5:$E$19,MATCH(L16,'В09 Каталог'!$B$5:$B$19,0)),0),0))</f>
        <v/>
      </c>
      <c r="N16" s="23">
        <f>IF(L16="",0,IFERROR(IF(ISNUMBER(SEARCH(E16,INDEX('В09 Каталог'!$D$5:$D$19,MATCH(L16,'В09 Каталог'!$B$5:$B$19,0)))),INDEX('В09 Каталог'!$F$5:$F$19,MATCH(L16,'В09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категорію",IF(AND(L16&lt;&gt;"",INDEX('В09 Каталог'!$H$5:$H$19,MATCH(L16,'В09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IF(L17="",0,IFERROR(IF(ISNUMBER(SEARCH(E17,INDEX('В09 Каталог'!$D$5:$D$19,MATCH(L17,'В09 Каталог'!$B$5:$B$19,0)))),INDEX('В09 Каталог'!$E$5:$E$19,MATCH(L17,'В09 Каталог'!$B$5:$B$19,0)),0),0))</f>
        <v/>
      </c>
      <c r="N17" s="23">
        <f>IF(L17="",0,IFERROR(IF(ISNUMBER(SEARCH(E17,INDEX('В09 Каталог'!$D$5:$D$19,MATCH(L17,'В09 Каталог'!$B$5:$B$19,0)))),INDEX('В09 Каталог'!$F$5:$F$19,MATCH(L17,'В09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категорію",IF(AND(L17&lt;&gt;"",INDEX('В09 Каталог'!$H$5:$H$19,MATCH(L17,'В09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IF(L18="",0,IFERROR(IF(ISNUMBER(SEARCH(E18,INDEX('В09 Каталог'!$D$5:$D$19,MATCH(L18,'В09 Каталог'!$B$5:$B$19,0)))),INDEX('В09 Каталог'!$E$5:$E$19,MATCH(L18,'В09 Каталог'!$B$5:$B$19,0)),0),0))</f>
        <v/>
      </c>
      <c r="N18" s="23">
        <f>IF(L18="",0,IFERROR(IF(ISNUMBER(SEARCH(E18,INDEX('В09 Каталог'!$D$5:$D$19,MATCH(L18,'В09 Каталог'!$B$5:$B$19,0)))),INDEX('В09 Каталог'!$F$5:$F$19,MATCH(L18,'В09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категорію",IF(AND(L18&lt;&gt;"",INDEX('В09 Каталог'!$H$5:$H$19,MATCH(L18,'В09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IF(L19="",0,IFERROR(IF(ISNUMBER(SEARCH(E19,INDEX('В09 Каталог'!$D$5:$D$19,MATCH(L19,'В09 Каталог'!$B$5:$B$19,0)))),INDEX('В09 Каталог'!$E$5:$E$19,MATCH(L19,'В09 Каталог'!$B$5:$B$19,0)),0),0))</f>
        <v/>
      </c>
      <c r="N19" s="23">
        <f>IF(L19="",0,IFERROR(IF(ISNUMBER(SEARCH(E19,INDEX('В09 Каталог'!$D$5:$D$19,MATCH(L19,'В09 Каталог'!$B$5:$B$19,0)))),INDEX('В09 Каталог'!$F$5:$F$19,MATCH(L19,'В09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категорію",IF(AND(L19&lt;&gt;"",INDEX('В09 Каталог'!$H$5:$H$19,MATCH(L19,'В09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IF(L20="",0,IFERROR(IF(ISNUMBER(SEARCH(E20,INDEX('В09 Каталог'!$D$5:$D$19,MATCH(L20,'В09 Каталог'!$B$5:$B$19,0)))),INDEX('В09 Каталог'!$E$5:$E$19,MATCH(L20,'В09 Каталог'!$B$5:$B$19,0)),0),0))</f>
        <v/>
      </c>
      <c r="N20" s="23">
        <f>IF(L20="",0,IFERROR(IF(ISNUMBER(SEARCH(E20,INDEX('В09 Каталог'!$D$5:$D$19,MATCH(L20,'В09 Каталог'!$B$5:$B$19,0)))),INDEX('В09 Каталог'!$F$5:$F$19,MATCH(L20,'В09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категорію",IF(AND(L20&lt;&gt;"",INDEX('В09 Каталог'!$H$5:$H$19,MATCH(L20,'В09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IF(L21="",0,IFERROR(IF(ISNUMBER(SEARCH(E21,INDEX('В09 Каталог'!$D$5:$D$19,MATCH(L21,'В09 Каталог'!$B$5:$B$19,0)))),INDEX('В09 Каталог'!$E$5:$E$19,MATCH(L21,'В09 Каталог'!$B$5:$B$19,0)),0),0))</f>
        <v/>
      </c>
      <c r="N21" s="23">
        <f>IF(L21="",0,IFERROR(IF(ISNUMBER(SEARCH(E21,INDEX('В09 Каталог'!$D$5:$D$19,MATCH(L21,'В09 Каталог'!$B$5:$B$19,0)))),INDEX('В09 Каталог'!$F$5:$F$19,MATCH(L21,'В09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категорію",IF(AND(L21&lt;&gt;"",INDEX('В09 Каталог'!$H$5:$H$19,MATCH(L21,'В09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IF(L22="",0,IFERROR(IF(ISNUMBER(SEARCH(E22,INDEX('В09 Каталог'!$D$5:$D$19,MATCH(L22,'В09 Каталог'!$B$5:$B$19,0)))),INDEX('В09 Каталог'!$E$5:$E$19,MATCH(L22,'В09 Каталог'!$B$5:$B$19,0)),0),0))</f>
        <v/>
      </c>
      <c r="N22" s="23">
        <f>IF(L22="",0,IFERROR(IF(ISNUMBER(SEARCH(E22,INDEX('В09 Каталог'!$D$5:$D$19,MATCH(L22,'В09 Каталог'!$B$5:$B$19,0)))),INDEX('В09 Каталог'!$F$5:$F$19,MATCH(L22,'В09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категорію",IF(AND(L22&lt;&gt;"",INDEX('В09 Каталог'!$H$5:$H$19,MATCH(L22,'В09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IF(L23="",0,IFERROR(IF(ISNUMBER(SEARCH(E23,INDEX('В09 Каталог'!$D$5:$D$19,MATCH(L23,'В09 Каталог'!$B$5:$B$19,0)))),INDEX('В09 Каталог'!$E$5:$E$19,MATCH(L23,'В09 Каталог'!$B$5:$B$19,0)),0),0))</f>
        <v/>
      </c>
      <c r="N23" s="23">
        <f>IF(L23="",0,IFERROR(IF(ISNUMBER(SEARCH(E23,INDEX('В09 Каталог'!$D$5:$D$19,MATCH(L23,'В09 Каталог'!$B$5:$B$19,0)))),INDEX('В09 Каталог'!$F$5:$F$19,MATCH(L23,'В09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категорію",IF(AND(L23&lt;&gt;"",INDEX('В09 Каталог'!$H$5:$H$19,MATCH(L23,'В09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IF(L24="",0,IFERROR(IF(ISNUMBER(SEARCH(E24,INDEX('В09 Каталог'!$D$5:$D$19,MATCH(L24,'В09 Каталог'!$B$5:$B$19,0)))),INDEX('В09 Каталог'!$E$5:$E$19,MATCH(L24,'В09 Каталог'!$B$5:$B$19,0)),0),0))</f>
        <v/>
      </c>
      <c r="N24" s="23">
        <f>IF(L24="",0,IFERROR(IF(ISNUMBER(SEARCH(E24,INDEX('В09 Каталог'!$D$5:$D$19,MATCH(L24,'В09 Каталог'!$B$5:$B$19,0)))),INDEX('В09 Каталог'!$F$5:$F$19,MATCH(L24,'В09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категорію",IF(AND(L24&lt;&gt;"",INDEX('В09 Каталог'!$H$5:$H$19,MATCH(L24,'В09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='В09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='В09 Каталог'!$B$5:$B$19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00A61C5D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COUNTIFS('В09 Ризики'!$F$5:$F$24,1,'В09 Ризики'!$G$5:$G$24,5)</f>
        <v/>
      </c>
      <c r="C6" s="26">
        <f>COUNTIFS('В09 Ризики'!$F$5:$F$24,2,'В09 Ризики'!$G$5:$G$24,5)</f>
        <v/>
      </c>
      <c r="D6" s="26">
        <f>COUNTIFS('В09 Ризики'!$F$5:$F$24,3,'В09 Ризики'!$G$5:$G$24,5)</f>
        <v/>
      </c>
      <c r="E6" s="27">
        <f>COUNTIFS('В09 Ризики'!$F$5:$F$24,4,'В09 Ризики'!$G$5:$G$24,5)</f>
        <v/>
      </c>
      <c r="F6" s="27">
        <f>COUNTIFS('В09 Ризики'!$F$5:$F$24,5,'В09 Ризики'!$G$5:$G$24,5)</f>
        <v/>
      </c>
      <c r="I6" s="24" t="inlineStr">
        <is>
          <t>C = 5</t>
        </is>
      </c>
      <c r="J6" s="25">
        <f>COUNTIFS('В09 Ризики'!$O$5:$O$24,1,'В09 Ризики'!$P$5:$P$24,5)</f>
        <v/>
      </c>
      <c r="K6" s="26">
        <f>COUNTIFS('В09 Ризики'!$O$5:$O$24,2,'В09 Ризики'!$P$5:$P$24,5)</f>
        <v/>
      </c>
      <c r="L6" s="26">
        <f>COUNTIFS('В09 Ризики'!$O$5:$O$24,3,'В09 Ризики'!$P$5:$P$24,5)</f>
        <v/>
      </c>
      <c r="M6" s="27">
        <f>COUNTIFS('В09 Ризики'!$O$5:$O$24,4,'В09 Ризики'!$P$5:$P$24,5)</f>
        <v/>
      </c>
      <c r="N6" s="27">
        <f>COUNTIFS('В09 Ризики'!$O$5:$O$24,5,'В09 Ризики'!$P$5:$P$24,5)</f>
        <v/>
      </c>
    </row>
    <row r="7" ht="34" customHeight="1">
      <c r="A7" s="24" t="inlineStr">
        <is>
          <t>C = 4</t>
        </is>
      </c>
      <c r="B7" s="28">
        <f>COUNTIFS('В09 Ризики'!$F$5:$F$24,1,'В09 Ризики'!$G$5:$G$24,4)</f>
        <v/>
      </c>
      <c r="C7" s="25">
        <f>COUNTIFS('В09 Ризики'!$F$5:$F$24,2,'В09 Ризики'!$G$5:$G$24,4)</f>
        <v/>
      </c>
      <c r="D7" s="26">
        <f>COUNTIFS('В09 Ризики'!$F$5:$F$24,3,'В09 Ризики'!$G$5:$G$24,4)</f>
        <v/>
      </c>
      <c r="E7" s="26">
        <f>COUNTIFS('В09 Ризики'!$F$5:$F$24,4,'В09 Ризики'!$G$5:$G$24,4)</f>
        <v/>
      </c>
      <c r="F7" s="27">
        <f>COUNTIFS('В09 Ризики'!$F$5:$F$24,5,'В09 Ризики'!$G$5:$G$24,4)</f>
        <v/>
      </c>
      <c r="I7" s="24" t="inlineStr">
        <is>
          <t>C = 4</t>
        </is>
      </c>
      <c r="J7" s="28">
        <f>COUNTIFS('В09 Ризики'!$O$5:$O$24,1,'В09 Ризики'!$P$5:$P$24,4)</f>
        <v/>
      </c>
      <c r="K7" s="25">
        <f>COUNTIFS('В09 Ризики'!$O$5:$O$24,2,'В09 Ризики'!$P$5:$P$24,4)</f>
        <v/>
      </c>
      <c r="L7" s="26">
        <f>COUNTIFS('В09 Ризики'!$O$5:$O$24,3,'В09 Ризики'!$P$5:$P$24,4)</f>
        <v/>
      </c>
      <c r="M7" s="26">
        <f>COUNTIFS('В09 Ризики'!$O$5:$O$24,4,'В09 Ризики'!$P$5:$P$24,4)</f>
        <v/>
      </c>
      <c r="N7" s="27">
        <f>COUNTIFS('В09 Ризики'!$O$5:$O$24,5,'В09 Ризики'!$P$5:$P$24,4)</f>
        <v/>
      </c>
    </row>
    <row r="8" ht="34" customHeight="1">
      <c r="A8" s="24" t="inlineStr">
        <is>
          <t>C = 3</t>
        </is>
      </c>
      <c r="B8" s="28">
        <f>COUNTIFS('В09 Ризики'!$F$5:$F$24,1,'В09 Ризики'!$G$5:$G$24,3)</f>
        <v/>
      </c>
      <c r="C8" s="25">
        <f>COUNTIFS('В09 Ризики'!$F$5:$F$24,2,'В09 Ризики'!$G$5:$G$24,3)</f>
        <v/>
      </c>
      <c r="D8" s="25">
        <f>COUNTIFS('В09 Ризики'!$F$5:$F$24,3,'В09 Ризики'!$G$5:$G$24,3)</f>
        <v/>
      </c>
      <c r="E8" s="26">
        <f>COUNTIFS('В09 Ризики'!$F$5:$F$24,4,'В09 Ризики'!$G$5:$G$24,3)</f>
        <v/>
      </c>
      <c r="F8" s="26">
        <f>COUNTIFS('В09 Ризики'!$F$5:$F$24,5,'В09 Ризики'!$G$5:$G$24,3)</f>
        <v/>
      </c>
      <c r="I8" s="24" t="inlineStr">
        <is>
          <t>C = 3</t>
        </is>
      </c>
      <c r="J8" s="28">
        <f>COUNTIFS('В09 Ризики'!$O$5:$O$24,1,'В09 Ризики'!$P$5:$P$24,3)</f>
        <v/>
      </c>
      <c r="K8" s="25">
        <f>COUNTIFS('В09 Ризики'!$O$5:$O$24,2,'В09 Ризики'!$P$5:$P$24,3)</f>
        <v/>
      </c>
      <c r="L8" s="25">
        <f>COUNTIFS('В09 Ризики'!$O$5:$O$24,3,'В09 Ризики'!$P$5:$P$24,3)</f>
        <v/>
      </c>
      <c r="M8" s="26">
        <f>COUNTIFS('В09 Ризики'!$O$5:$O$24,4,'В09 Ризики'!$P$5:$P$24,3)</f>
        <v/>
      </c>
      <c r="N8" s="26">
        <f>COUNTIFS('В09 Ризики'!$O$5:$O$24,5,'В09 Ризики'!$P$5:$P$24,3)</f>
        <v/>
      </c>
    </row>
    <row r="9" ht="34" customHeight="1">
      <c r="A9" s="24" t="inlineStr">
        <is>
          <t>C = 2</t>
        </is>
      </c>
      <c r="B9" s="28">
        <f>COUNTIFS('В09 Ризики'!$F$5:$F$24,1,'В09 Ризики'!$G$5:$G$24,2)</f>
        <v/>
      </c>
      <c r="C9" s="28">
        <f>COUNTIFS('В09 Ризики'!$F$5:$F$24,2,'В09 Ризики'!$G$5:$G$24,2)</f>
        <v/>
      </c>
      <c r="D9" s="25">
        <f>COUNTIFS('В09 Ризики'!$F$5:$F$24,3,'В09 Ризики'!$G$5:$G$24,2)</f>
        <v/>
      </c>
      <c r="E9" s="25">
        <f>COUNTIFS('В09 Ризики'!$F$5:$F$24,4,'В09 Ризики'!$G$5:$G$24,2)</f>
        <v/>
      </c>
      <c r="F9" s="26">
        <f>COUNTIFS('В09 Ризики'!$F$5:$F$24,5,'В09 Ризики'!$G$5:$G$24,2)</f>
        <v/>
      </c>
      <c r="I9" s="24" t="inlineStr">
        <is>
          <t>C = 2</t>
        </is>
      </c>
      <c r="J9" s="28">
        <f>COUNTIFS('В09 Ризики'!$O$5:$O$24,1,'В09 Ризики'!$P$5:$P$24,2)</f>
        <v/>
      </c>
      <c r="K9" s="28">
        <f>COUNTIFS('В09 Ризики'!$O$5:$O$24,2,'В09 Ризики'!$P$5:$P$24,2)</f>
        <v/>
      </c>
      <c r="L9" s="25">
        <f>COUNTIFS('В09 Ризики'!$O$5:$O$24,3,'В09 Ризики'!$P$5:$P$24,2)</f>
        <v/>
      </c>
      <c r="M9" s="25">
        <f>COUNTIFS('В09 Ризики'!$O$5:$O$24,4,'В09 Ризики'!$P$5:$P$24,2)</f>
        <v/>
      </c>
      <c r="N9" s="26">
        <f>COUNTIFS('В09 Ризики'!$O$5:$O$24,5,'В09 Ризики'!$P$5:$P$24,2)</f>
        <v/>
      </c>
    </row>
    <row r="10" ht="34" customHeight="1">
      <c r="A10" s="24" t="inlineStr">
        <is>
          <t>C = 1</t>
        </is>
      </c>
      <c r="B10" s="28">
        <f>COUNTIFS('В09 Ризики'!$F$5:$F$24,1,'В09 Ризики'!$G$5:$G$24,1)</f>
        <v/>
      </c>
      <c r="C10" s="28">
        <f>COUNTIFS('В09 Ризики'!$F$5:$F$24,2,'В09 Ризики'!$G$5:$G$24,1)</f>
        <v/>
      </c>
      <c r="D10" s="28">
        <f>COUNTIFS('В09 Ризики'!$F$5:$F$24,3,'В09 Ризики'!$G$5:$G$24,1)</f>
        <v/>
      </c>
      <c r="E10" s="28">
        <f>COUNTIFS('В09 Ризики'!$F$5:$F$24,4,'В09 Ризики'!$G$5:$G$24,1)</f>
        <v/>
      </c>
      <c r="F10" s="25">
        <f>COUNTIFS('В09 Ризики'!$F$5:$F$24,5,'В09 Ризики'!$G$5:$G$24,1)</f>
        <v/>
      </c>
      <c r="I10" s="24" t="inlineStr">
        <is>
          <t>C = 1</t>
        </is>
      </c>
      <c r="J10" s="28">
        <f>COUNTIFS('В09 Ризики'!$O$5:$O$24,1,'В09 Ризики'!$P$5:$P$24,1)</f>
        <v/>
      </c>
      <c r="K10" s="28">
        <f>COUNTIFS('В09 Ризики'!$O$5:$O$24,2,'В09 Ризики'!$P$5:$P$24,1)</f>
        <v/>
      </c>
      <c r="L10" s="28">
        <f>COUNTIFS('В09 Ризики'!$O$5:$O$24,3,'В09 Ризики'!$P$5:$P$24,1)</f>
        <v/>
      </c>
      <c r="M10" s="28">
        <f>COUNTIFS('В09 Ризики'!$O$5:$O$24,4,'В09 Ризики'!$P$5:$P$24,1)</f>
        <v/>
      </c>
      <c r="N10" s="25">
        <f>COUNTIFS('В09 Ризики'!$O$5:$O$24,5,'В09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tabColor rgb="00A61C5D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SUM('В09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SUM('В09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SUM('В09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COUNTIF('В09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SUMPRODUCT(('В09 Ризики'!J5:J24="Так")*('В09 Ризики'!R5:R24&lt;&gt;"ОК"))</f>
        <v/>
      </c>
    </row>
    <row r="13">
      <c r="A13" s="31" t="inlineStr">
        <is>
          <t>Ризики у реєстрі</t>
        </is>
      </c>
      <c r="B13" s="33">
        <f>COUNTA('В09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tabColor rgb="00A61C5D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tabColor rgb="005F6B7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10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3"/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tabColor rgb="005F6B76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10</t>
        </is>
      </c>
    </row>
    <row r="2"/>
    <row r="3">
      <c r="A3" s="10" t="inlineStr">
        <is>
          <t>Номер варіанта</t>
        </is>
      </c>
      <c r="B3" s="11" t="inlineStr">
        <is>
          <t>10</t>
        </is>
      </c>
    </row>
    <row r="4">
      <c r="A4" s="10" t="inlineStr">
        <is>
          <t>Студент (прізвище)</t>
        </is>
      </c>
      <c r="B4" s="12" t="n"/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380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225</t>
        </is>
      </c>
    </row>
    <row r="12">
      <c r="A12" s="10" t="inlineStr">
        <is>
          <t>Резервне живлення</t>
        </is>
      </c>
      <c r="B12" s="11" t="inlineStr">
        <is>
          <t>без резерву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4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один провайдер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1</t>
        </is>
      </c>
    </row>
    <row r="16">
      <c r="A16" s="10" t="inlineStr">
        <is>
          <t>Особливий актив відділення</t>
        </is>
      </c>
      <c r="B16" s="11" t="inlineStr">
        <is>
          <t>Датчики серверної (температура, дим) з IoT-шлюзом, що виходить в інтернет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tabColor rgb="005F6B7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3"/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IF(COUNTIF('В10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IF(COUNTIF('В10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IF(COUNTIF('В10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IF(COUNTIF('В10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IF(COUNTIF('В10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IF(COUNTIF('В10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IF(COUNTIF('В10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IF(COUNTIF('В10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IF(COUNTIF('В10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IF(COUNTIF('В10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IF(COUNTIF('В10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IF(COUNTIF('В10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IF(COUNTIF('В10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IF(COUNTIF('В10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IF(COUNTIF('В10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tabColor rgb="005F6B76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n"/>
      <c r="C5" s="12" t="n"/>
      <c r="D5" s="12" t="n"/>
      <c r="E5" s="12" t="n"/>
      <c r="F5" s="12" t="n"/>
    </row>
    <row r="6">
      <c r="A6" s="14" t="n">
        <v>2</v>
      </c>
      <c r="B6" s="12" t="n"/>
      <c r="C6" s="12" t="n"/>
      <c r="D6" s="12" t="n"/>
      <c r="E6" s="12" t="n"/>
      <c r="F6" s="12" t="n"/>
    </row>
    <row r="7">
      <c r="A7" s="14" t="n">
        <v>3</v>
      </c>
      <c r="B7" s="12" t="n"/>
      <c r="C7" s="12" t="n"/>
      <c r="D7" s="12" t="n"/>
      <c r="E7" s="12" t="n"/>
      <c r="F7" s="12" t="n"/>
    </row>
    <row r="8">
      <c r="A8" s="14" t="n">
        <v>4</v>
      </c>
      <c r="B8" s="12" t="n"/>
      <c r="C8" s="12" t="n"/>
      <c r="D8" s="12" t="n"/>
      <c r="E8" s="12" t="n"/>
      <c r="F8" s="12" t="n"/>
    </row>
    <row r="9">
      <c r="A9" s="14" t="n">
        <v>5</v>
      </c>
      <c r="B9" s="12" t="n"/>
      <c r="C9" s="12" t="n"/>
      <c r="D9" s="12" t="n"/>
      <c r="E9" s="12" t="n"/>
      <c r="F9" s="12" t="n"/>
    </row>
    <row r="10">
      <c r="A10" s="14" t="n">
        <v>6</v>
      </c>
      <c r="B10" s="12" t="n"/>
      <c r="C10" s="12" t="n"/>
      <c r="D10" s="12" t="n"/>
      <c r="E10" s="12" t="n"/>
      <c r="F10" s="12" t="n"/>
    </row>
    <row r="11">
      <c r="A11" s="14" t="n">
        <v>7</v>
      </c>
      <c r="B11" s="12" t="n"/>
      <c r="C11" s="12" t="n"/>
      <c r="D11" s="12" t="n"/>
      <c r="E11" s="12" t="n"/>
      <c r="F11" s="12" t="n"/>
    </row>
    <row r="12">
      <c r="A12" s="14" t="n">
        <v>8</v>
      </c>
      <c r="B12" s="12" t="n"/>
      <c r="C12" s="12" t="n"/>
      <c r="D12" s="12" t="n"/>
      <c r="E12" s="12" t="n"/>
      <c r="F12" s="12" t="n"/>
    </row>
    <row r="13">
      <c r="A13" s="14" t="n">
        <v>9</v>
      </c>
      <c r="B13" s="12" t="n"/>
      <c r="C13" s="12" t="n"/>
      <c r="D13" s="12" t="n"/>
      <c r="E13" s="12" t="n"/>
      <c r="F13" s="12" t="n"/>
    </row>
    <row r="14">
      <c r="A14" s="14" t="n">
        <v>10</v>
      </c>
      <c r="B14" s="12" t="n"/>
      <c r="C14" s="12" t="n"/>
      <c r="D14" s="12" t="n"/>
      <c r="E14" s="12" t="n"/>
      <c r="F14" s="12" t="n"/>
    </row>
    <row r="15">
      <c r="A15" s="14" t="n">
        <v>11</v>
      </c>
      <c r="B15" s="12" t="n"/>
      <c r="C15" s="12" t="n"/>
      <c r="D15" s="12" t="n"/>
      <c r="E15" s="12" t="n"/>
      <c r="F15" s="12" t="n"/>
    </row>
    <row r="16">
      <c r="A16" s="14" t="n">
        <v>12</v>
      </c>
      <c r="B16" s="12" t="n"/>
      <c r="C16" s="12" t="n"/>
      <c r="D16" s="12" t="n"/>
      <c r="E16" s="12" t="n"/>
      <c r="F16" s="12" t="n"/>
    </row>
    <row r="17">
      <c r="A17" s="14" t="n">
        <v>13</v>
      </c>
      <c r="B17" s="12" t="n"/>
      <c r="C17" s="12" t="n"/>
      <c r="D17" s="12" t="n"/>
      <c r="E17" s="12" t="n"/>
      <c r="F17" s="12" t="n"/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tabColor rgb="005F6B76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Канал зв'язку з головним офісом</t>
        </is>
      </c>
      <c r="C5" s="14" t="inlineStr">
        <is>
          <t>Відмова каналу до головного офісу</t>
        </is>
      </c>
      <c r="D5" s="14" t="inlineStr">
        <is>
          <t>один провайдер</t>
        </is>
      </c>
      <c r="E5" s="14" t="n">
        <v>3</v>
      </c>
      <c r="F5" s="14" t="n">
        <v>4</v>
      </c>
      <c r="G5" s="14" t="inlineStr">
        <is>
          <t>оцінено за даними профілю</t>
        </is>
      </c>
    </row>
    <row r="6">
      <c r="A6" s="14" t="n">
        <v>2</v>
      </c>
      <c r="B6" s="14" t="inlineStr">
        <is>
          <t>Серверна</t>
        </is>
      </c>
      <c r="C6" s="14" t="inlineStr">
        <is>
          <t>Пожежа в серверній</t>
        </is>
      </c>
      <c r="D6" s="14" t="inlineStr">
        <is>
          <t>немає автоматичного пожежогасіння</t>
        </is>
      </c>
      <c r="E6" s="14" t="n">
        <v>5</v>
      </c>
      <c r="F6" s="14" t="n">
        <v>5</v>
      </c>
      <c r="G6" s="14" t="inlineStr">
        <is>
          <t>За останні сім років було лише один такий випадок у нашій мережі</t>
        </is>
      </c>
    </row>
    <row r="7">
      <c r="A7" s="14" t="n">
        <v>3</v>
      </c>
      <c r="B7" s="14" t="inlineStr">
        <is>
          <t>Вуличний банкомат (готівка)</t>
        </is>
      </c>
      <c r="C7" s="14" t="inlineStr">
        <is>
          <t>Крадіжка готівки з вуличного банкомата</t>
        </is>
      </c>
      <c r="D7" s="14" t="inlineStr">
        <is>
          <t>камера є, освітлення добре</t>
        </is>
      </c>
      <c r="E7" s="14" t="n">
        <v>4</v>
      </c>
      <c r="F7" s="14" t="n">
        <v>4</v>
      </c>
      <c r="G7" s="14" t="inlineStr">
        <is>
          <t>перший з двох записів про одне й те саме</t>
        </is>
      </c>
    </row>
    <row r="8">
      <c r="A8" s="14" t="n">
        <v>4</v>
      </c>
      <c r="B8" s="14" t="inlineStr">
        <is>
          <t>Серверна й обладнання відділення</t>
        </is>
      </c>
      <c r="C8" s="14" t="inlineStr">
        <is>
          <t>Зловживання правами недобросовісним співробітником</t>
        </is>
      </c>
      <c r="D8" s="14" t="inlineStr">
        <is>
          <t>права адміністратора в кількох працівників, журнали не переглядають</t>
        </is>
      </c>
      <c r="E8" s="14" t="n">
        <v>2</v>
      </c>
      <c r="F8" s="14" t="n">
        <v>4</v>
      </c>
      <c r="G8" s="14" t="inlineStr">
        <is>
          <t>оцінено за політикою доступу</t>
        </is>
      </c>
    </row>
    <row r="9">
      <c r="A9" s="14" t="n">
        <v>5</v>
      </c>
      <c r="B9" s="14" t="inlineStr">
        <is>
          <t>Вуличний банкомат (готівка)</t>
        </is>
      </c>
      <c r="C9" s="14" t="inlineStr">
        <is>
          <t>Злам банкомата з метою вилучення готівки</t>
        </is>
      </c>
      <c r="D9" s="14" t="inlineStr">
        <is>
          <t>камера є, освітлення добре</t>
        </is>
      </c>
      <c r="E9" s="14" t="n">
        <v>4</v>
      </c>
      <c r="F9" s="14" t="n">
        <v>4</v>
      </c>
      <c r="G9" s="14" t="inlineStr">
        <is>
          <t>другий запис, інші слова</t>
        </is>
      </c>
    </row>
    <row r="10">
      <c r="A10" s="14" t="n">
        <v>6</v>
      </c>
      <c r="B10" s="14" t="inlineStr">
        <is>
          <t>Вуличний банкомат (картки клієнтів)</t>
        </is>
      </c>
      <c r="C10" s="14" t="inlineStr">
        <is>
          <t>Встановлення скімера й масове копіювання карток</t>
        </is>
      </c>
      <c r="D10" s="14" t="inlineStr">
        <is>
          <t>камера є, освітлення добре</t>
        </is>
      </c>
      <c r="E10" s="14" t="n">
        <v>3</v>
      </c>
      <c r="F10" s="14" t="n">
        <v>4</v>
      </c>
      <c r="G10" s="14" t="inlineStr">
        <is>
          <t>оцінено за даними профілю</t>
        </is>
      </c>
    </row>
    <row r="11">
      <c r="A11" s="14" t="n">
        <v>7</v>
      </c>
      <c r="B11" s="14" t="n"/>
      <c r="C11" s="14" t="inlineStr">
        <is>
          <t>Фішинг</t>
        </is>
      </c>
      <c r="D11" s="14" t="n"/>
      <c r="E11" s="14" t="n">
        <v>4</v>
      </c>
      <c r="F11" s="14" t="n">
        <v>4</v>
      </c>
      <c r="G11" s="14" t="inlineStr">
        <is>
          <t>Дуже небезпечно, треба бачити</t>
        </is>
      </c>
    </row>
    <row r="12"/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n"/>
      <c r="B15" s="12" t="n"/>
      <c r="C15" s="12" t="n"/>
      <c r="D15" s="20" t="n"/>
      <c r="E15" s="20" t="n"/>
      <c r="F15" s="20" t="n"/>
      <c r="G15" s="21" t="n"/>
    </row>
    <row r="16">
      <c r="A16" s="12" t="n"/>
      <c r="B16" s="12" t="n"/>
      <c r="C16" s="12" t="n"/>
      <c r="D16" s="20" t="n"/>
      <c r="E16" s="20" t="n"/>
      <c r="F16" s="20" t="n"/>
      <c r="G16" s="21" t="n"/>
    </row>
    <row r="17">
      <c r="A17" s="12" t="n"/>
      <c r="B17" s="12" t="n"/>
      <c r="C17" s="12" t="n"/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tabColor rgb="005F6B76"/>
    <outlinePr summaryBelow="1" summaryRight="1"/>
    <pageSetUpPr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3"/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n"/>
      <c r="C5" s="12" t="n"/>
      <c r="D5" s="12" t="n"/>
      <c r="E5" s="12" t="n"/>
      <c r="F5" s="22" t="n"/>
      <c r="G5" s="22" t="n"/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n"/>
      <c r="K5" s="12" t="n"/>
      <c r="L5" s="12" t="n"/>
      <c r="M5" s="23">
        <f>IF(L5="",0,IFERROR(IF(ISNUMBER(SEARCH(E5,INDEX('В10 Каталог'!$D$5:$D$19,MATCH(L5,'В10 Каталог'!$B$5:$B$19,0)))),INDEX('В10 Каталог'!$E$5:$E$19,MATCH(L5,'В10 Каталог'!$B$5:$B$19,0)),0),0))</f>
        <v/>
      </c>
      <c r="N5" s="23">
        <f>IF(L5="",0,IFERROR(IF(ISNUMBER(SEARCH(E5,INDEX('В10 Каталог'!$D$5:$D$19,MATCH(L5,'В10 Каталог'!$B$5:$B$19,0)))),INDEX('В10 Каталог'!$F$5:$F$19,MATCH(L5,'В10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категорію",IF(AND(L5&lt;&gt;"",INDEX('В10 Каталог'!$H$5:$H$19,MATCH(L5,'В10 Каталог'!$B$5:$B$19,0))="Ні"),"Захід недоступний","ОК")))))))))</f>
        <v/>
      </c>
      <c r="S5" s="12" t="n"/>
    </row>
    <row r="6">
      <c r="A6" s="14" t="n">
        <v>2</v>
      </c>
      <c r="B6" s="12" t="n"/>
      <c r="C6" s="12" t="n"/>
      <c r="D6" s="12" t="n"/>
      <c r="E6" s="12" t="n"/>
      <c r="F6" s="22" t="n"/>
      <c r="G6" s="22" t="n"/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n"/>
      <c r="K6" s="12" t="n"/>
      <c r="L6" s="12" t="n"/>
      <c r="M6" s="23">
        <f>IF(L6="",0,IFERROR(IF(ISNUMBER(SEARCH(E6,INDEX('В10 Каталог'!$D$5:$D$19,MATCH(L6,'В10 Каталог'!$B$5:$B$19,0)))),INDEX('В10 Каталог'!$E$5:$E$19,MATCH(L6,'В10 Каталог'!$B$5:$B$19,0)),0),0))</f>
        <v/>
      </c>
      <c r="N6" s="23">
        <f>IF(L6="",0,IFERROR(IF(ISNUMBER(SEARCH(E6,INDEX('В10 Каталог'!$D$5:$D$19,MATCH(L6,'В10 Каталог'!$B$5:$B$19,0)))),INDEX('В10 Каталог'!$F$5:$F$19,MATCH(L6,'В10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категорію",IF(AND(L6&lt;&gt;"",INDEX('В10 Каталог'!$H$5:$H$19,MATCH(L6,'В10 Каталог'!$B$5:$B$19,0))="Ні"),"Захід недоступний","ОК")))))))))</f>
        <v/>
      </c>
      <c r="S6" s="12" t="n"/>
    </row>
    <row r="7">
      <c r="A7" s="14" t="n">
        <v>3</v>
      </c>
      <c r="B7" s="12" t="n"/>
      <c r="C7" s="12" t="n"/>
      <c r="D7" s="12" t="n"/>
      <c r="E7" s="12" t="n"/>
      <c r="F7" s="22" t="n"/>
      <c r="G7" s="22" t="n"/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n"/>
      <c r="K7" s="12" t="n"/>
      <c r="L7" s="12" t="n"/>
      <c r="M7" s="23">
        <f>IF(L7="",0,IFERROR(IF(ISNUMBER(SEARCH(E7,INDEX('В10 Каталог'!$D$5:$D$19,MATCH(L7,'В10 Каталог'!$B$5:$B$19,0)))),INDEX('В10 Каталог'!$E$5:$E$19,MATCH(L7,'В10 Каталог'!$B$5:$B$19,0)),0),0))</f>
        <v/>
      </c>
      <c r="N7" s="23">
        <f>IF(L7="",0,IFERROR(IF(ISNUMBER(SEARCH(E7,INDEX('В10 Каталог'!$D$5:$D$19,MATCH(L7,'В10 Каталог'!$B$5:$B$19,0)))),INDEX('В10 Каталог'!$F$5:$F$19,MATCH(L7,'В10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категорію",IF(AND(L7&lt;&gt;"",INDEX('В10 Каталог'!$H$5:$H$19,MATCH(L7,'В10 Каталог'!$B$5:$B$19,0))="Ні"),"Захід недоступний","ОК")))))))))</f>
        <v/>
      </c>
      <c r="S7" s="12" t="n"/>
    </row>
    <row r="8">
      <c r="A8" s="14" t="n">
        <v>4</v>
      </c>
      <c r="B8" s="12" t="n"/>
      <c r="C8" s="12" t="n"/>
      <c r="D8" s="12" t="n"/>
      <c r="E8" s="12" t="n"/>
      <c r="F8" s="22" t="n"/>
      <c r="G8" s="22" t="n"/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n"/>
      <c r="K8" s="12" t="n"/>
      <c r="L8" s="12" t="n"/>
      <c r="M8" s="23">
        <f>IF(L8="",0,IFERROR(IF(ISNUMBER(SEARCH(E8,INDEX('В10 Каталог'!$D$5:$D$19,MATCH(L8,'В10 Каталог'!$B$5:$B$19,0)))),INDEX('В10 Каталог'!$E$5:$E$19,MATCH(L8,'В10 Каталог'!$B$5:$B$19,0)),0),0))</f>
        <v/>
      </c>
      <c r="N8" s="23">
        <f>IF(L8="",0,IFERROR(IF(ISNUMBER(SEARCH(E8,INDEX('В10 Каталог'!$D$5:$D$19,MATCH(L8,'В10 Каталог'!$B$5:$B$19,0)))),INDEX('В10 Каталог'!$F$5:$F$19,MATCH(L8,'В10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категорію",IF(AND(L8&lt;&gt;"",INDEX('В10 Каталог'!$H$5:$H$19,MATCH(L8,'В10 Каталог'!$B$5:$B$19,0))="Ні"),"Захід недоступний","ОК")))))))))</f>
        <v/>
      </c>
      <c r="S8" s="12" t="n"/>
    </row>
    <row r="9">
      <c r="A9" s="14" t="n">
        <v>5</v>
      </c>
      <c r="B9" s="12" t="n"/>
      <c r="C9" s="12" t="n"/>
      <c r="D9" s="12" t="n"/>
      <c r="E9" s="12" t="n"/>
      <c r="F9" s="22" t="n"/>
      <c r="G9" s="22" t="n"/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n"/>
      <c r="K9" s="12" t="n"/>
      <c r="L9" s="12" t="n"/>
      <c r="M9" s="23">
        <f>IF(L9="",0,IFERROR(IF(ISNUMBER(SEARCH(E9,INDEX('В10 Каталог'!$D$5:$D$19,MATCH(L9,'В10 Каталог'!$B$5:$B$19,0)))),INDEX('В10 Каталог'!$E$5:$E$19,MATCH(L9,'В10 Каталог'!$B$5:$B$19,0)),0),0))</f>
        <v/>
      </c>
      <c r="N9" s="23">
        <f>IF(L9="",0,IFERROR(IF(ISNUMBER(SEARCH(E9,INDEX('В10 Каталог'!$D$5:$D$19,MATCH(L9,'В10 Каталог'!$B$5:$B$19,0)))),INDEX('В10 Каталог'!$F$5:$F$19,MATCH(L9,'В10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категорію",IF(AND(L9&lt;&gt;"",INDEX('В10 Каталог'!$H$5:$H$19,MATCH(L9,'В10 Каталог'!$B$5:$B$19,0))="Ні"),"Захід недоступний","ОК")))))))))</f>
        <v/>
      </c>
      <c r="S9" s="12" t="n"/>
    </row>
    <row r="10">
      <c r="A10" s="14" t="n">
        <v>6</v>
      </c>
      <c r="B10" s="12" t="n"/>
      <c r="C10" s="12" t="n"/>
      <c r="D10" s="12" t="n"/>
      <c r="E10" s="12" t="n"/>
      <c r="F10" s="22" t="n"/>
      <c r="G10" s="22" t="n"/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n"/>
      <c r="L10" s="12" t="n"/>
      <c r="M10" s="23">
        <f>IF(L10="",0,IFERROR(IF(ISNUMBER(SEARCH(E10,INDEX('В10 Каталог'!$D$5:$D$19,MATCH(L10,'В10 Каталог'!$B$5:$B$19,0)))),INDEX('В10 Каталог'!$E$5:$E$19,MATCH(L10,'В10 Каталог'!$B$5:$B$19,0)),0),0))</f>
        <v/>
      </c>
      <c r="N10" s="23">
        <f>IF(L10="",0,IFERROR(IF(ISNUMBER(SEARCH(E10,INDEX('В10 Каталог'!$D$5:$D$19,MATCH(L10,'В10 Каталог'!$B$5:$B$19,0)))),INDEX('В10 Каталог'!$F$5:$F$19,MATCH(L10,'В10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категорію",IF(AND(L10&lt;&gt;"",INDEX('В10 Каталог'!$H$5:$H$19,MATCH(L10,'В10 Каталог'!$B$5:$B$19,0))="Ні"),"Захід недоступний","ОК")))))))))</f>
        <v/>
      </c>
      <c r="S10" s="12" t="n"/>
    </row>
    <row r="11">
      <c r="A11" s="14" t="n">
        <v>7</v>
      </c>
      <c r="B11" s="12" t="n"/>
      <c r="C11" s="12" t="n"/>
      <c r="D11" s="12" t="n"/>
      <c r="E11" s="12" t="n"/>
      <c r="F11" s="22" t="n"/>
      <c r="G11" s="22" t="n"/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n"/>
      <c r="L11" s="12" t="n"/>
      <c r="M11" s="23">
        <f>IF(L11="",0,IFERROR(IF(ISNUMBER(SEARCH(E11,INDEX('В10 Каталог'!$D$5:$D$19,MATCH(L11,'В10 Каталог'!$B$5:$B$19,0)))),INDEX('В10 Каталог'!$E$5:$E$19,MATCH(L11,'В10 Каталог'!$B$5:$B$19,0)),0),0))</f>
        <v/>
      </c>
      <c r="N11" s="23">
        <f>IF(L11="",0,IFERROR(IF(ISNUMBER(SEARCH(E11,INDEX('В10 Каталог'!$D$5:$D$19,MATCH(L11,'В10 Каталог'!$B$5:$B$19,0)))),INDEX('В10 Каталог'!$F$5:$F$19,MATCH(L11,'В10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категорію",IF(AND(L11&lt;&gt;"",INDEX('В10 Каталог'!$H$5:$H$19,MATCH(L11,'В10 Каталог'!$B$5:$B$19,0))="Ні"),"Захід недоступний","ОК")))))))))</f>
        <v/>
      </c>
      <c r="S11" s="12" t="n"/>
    </row>
    <row r="12">
      <c r="A12" s="14" t="n">
        <v>8</v>
      </c>
      <c r="B12" s="12" t="n"/>
      <c r="C12" s="12" t="n"/>
      <c r="D12" s="12" t="n"/>
      <c r="E12" s="12" t="n"/>
      <c r="F12" s="22" t="n"/>
      <c r="G12" s="22" t="n"/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n"/>
      <c r="L12" s="12" t="n"/>
      <c r="M12" s="23">
        <f>IF(L12="",0,IFERROR(IF(ISNUMBER(SEARCH(E12,INDEX('В10 Каталог'!$D$5:$D$19,MATCH(L12,'В10 Каталог'!$B$5:$B$19,0)))),INDEX('В10 Каталог'!$E$5:$E$19,MATCH(L12,'В10 Каталог'!$B$5:$B$19,0)),0),0))</f>
        <v/>
      </c>
      <c r="N12" s="23">
        <f>IF(L12="",0,IFERROR(IF(ISNUMBER(SEARCH(E12,INDEX('В10 Каталог'!$D$5:$D$19,MATCH(L12,'В10 Каталог'!$B$5:$B$19,0)))),INDEX('В10 Каталог'!$F$5:$F$19,MATCH(L12,'В10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категорію",IF(AND(L12&lt;&gt;"",INDEX('В10 Каталог'!$H$5:$H$19,MATCH(L12,'В10 Каталог'!$B$5:$B$19,0))="Ні"),"Захід недоступний","ОК")))))))))</f>
        <v/>
      </c>
      <c r="S12" s="12" t="n"/>
    </row>
    <row r="13">
      <c r="A13" s="14" t="n">
        <v>9</v>
      </c>
      <c r="B13" s="12" t="n"/>
      <c r="C13" s="12" t="n"/>
      <c r="D13" s="12" t="n"/>
      <c r="E13" s="12" t="n"/>
      <c r="F13" s="22" t="n"/>
      <c r="G13" s="22" t="n"/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n"/>
      <c r="L13" s="12" t="n"/>
      <c r="M13" s="23">
        <f>IF(L13="",0,IFERROR(IF(ISNUMBER(SEARCH(E13,INDEX('В10 Каталог'!$D$5:$D$19,MATCH(L13,'В10 Каталог'!$B$5:$B$19,0)))),INDEX('В10 Каталог'!$E$5:$E$19,MATCH(L13,'В10 Каталог'!$B$5:$B$19,0)),0),0))</f>
        <v/>
      </c>
      <c r="N13" s="23">
        <f>IF(L13="",0,IFERROR(IF(ISNUMBER(SEARCH(E13,INDEX('В10 Каталог'!$D$5:$D$19,MATCH(L13,'В10 Каталог'!$B$5:$B$19,0)))),INDEX('В10 Каталог'!$F$5:$F$19,MATCH(L13,'В10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категорію",IF(AND(L13&lt;&gt;"",INDEX('В10 Каталог'!$H$5:$H$19,MATCH(L13,'В10 Каталог'!$B$5:$B$19,0))="Ні"),"Захід недоступний","ОК")))))))))</f>
        <v/>
      </c>
      <c r="S13" s="12" t="n"/>
    </row>
    <row r="14">
      <c r="A14" s="14" t="n">
        <v>10</v>
      </c>
      <c r="B14" s="12" t="n"/>
      <c r="C14" s="12" t="n"/>
      <c r="D14" s="12" t="n"/>
      <c r="E14" s="12" t="n"/>
      <c r="F14" s="22" t="n"/>
      <c r="G14" s="22" t="n"/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n"/>
      <c r="L14" s="12" t="n"/>
      <c r="M14" s="23">
        <f>IF(L14="",0,IFERROR(IF(ISNUMBER(SEARCH(E14,INDEX('В10 Каталог'!$D$5:$D$19,MATCH(L14,'В10 Каталог'!$B$5:$B$19,0)))),INDEX('В10 Каталог'!$E$5:$E$19,MATCH(L14,'В10 Каталог'!$B$5:$B$19,0)),0),0))</f>
        <v/>
      </c>
      <c r="N14" s="23">
        <f>IF(L14="",0,IFERROR(IF(ISNUMBER(SEARCH(E14,INDEX('В10 Каталог'!$D$5:$D$19,MATCH(L14,'В10 Каталог'!$B$5:$B$19,0)))),INDEX('В10 Каталог'!$F$5:$F$19,MATCH(L14,'В10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категорію",IF(AND(L14&lt;&gt;"",INDEX('В10 Каталог'!$H$5:$H$19,MATCH(L14,'В10 Каталог'!$B$5:$B$19,0))="Ні"),"Захід недоступний","ОК")))))))))</f>
        <v/>
      </c>
      <c r="S14" s="12" t="n"/>
    </row>
    <row r="15">
      <c r="A15" s="14" t="n">
        <v>11</v>
      </c>
      <c r="B15" s="12" t="n"/>
      <c r="C15" s="12" t="n"/>
      <c r="D15" s="12" t="n"/>
      <c r="E15" s="12" t="n"/>
      <c r="F15" s="22" t="n"/>
      <c r="G15" s="22" t="n"/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n"/>
      <c r="L15" s="12" t="n"/>
      <c r="M15" s="23">
        <f>IF(L15="",0,IFERROR(IF(ISNUMBER(SEARCH(E15,INDEX('В10 Каталог'!$D$5:$D$19,MATCH(L15,'В10 Каталог'!$B$5:$B$19,0)))),INDEX('В10 Каталог'!$E$5:$E$19,MATCH(L15,'В10 Каталог'!$B$5:$B$19,0)),0),0))</f>
        <v/>
      </c>
      <c r="N15" s="23">
        <f>IF(L15="",0,IFERROR(IF(ISNUMBER(SEARCH(E15,INDEX('В10 Каталог'!$D$5:$D$19,MATCH(L15,'В10 Каталог'!$B$5:$B$19,0)))),INDEX('В10 Каталог'!$F$5:$F$19,MATCH(L15,'В10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категорію",IF(AND(L15&lt;&gt;"",INDEX('В10 Каталог'!$H$5:$H$19,MATCH(L15,'В10 Каталог'!$B$5:$B$19,0))="Ні"),"Захід недоступний","ОК")))))))))</f>
        <v/>
      </c>
      <c r="S15" s="12" t="n"/>
    </row>
    <row r="16">
      <c r="A16" s="14" t="n">
        <v>12</v>
      </c>
      <c r="B16" s="12" t="n"/>
      <c r="C16" s="12" t="n"/>
      <c r="D16" s="12" t="n"/>
      <c r="E16" s="12" t="n"/>
      <c r="F16" s="22" t="n"/>
      <c r="G16" s="22" t="n"/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n"/>
      <c r="L16" s="12" t="n"/>
      <c r="M16" s="23">
        <f>IF(L16="",0,IFERROR(IF(ISNUMBER(SEARCH(E16,INDEX('В10 Каталог'!$D$5:$D$19,MATCH(L16,'В10 Каталог'!$B$5:$B$19,0)))),INDEX('В10 Каталог'!$E$5:$E$19,MATCH(L16,'В10 Каталог'!$B$5:$B$19,0)),0),0))</f>
        <v/>
      </c>
      <c r="N16" s="23">
        <f>IF(L16="",0,IFERROR(IF(ISNUMBER(SEARCH(E16,INDEX('В10 Каталог'!$D$5:$D$19,MATCH(L16,'В10 Каталог'!$B$5:$B$19,0)))),INDEX('В10 Каталог'!$F$5:$F$19,MATCH(L16,'В10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категорію",IF(AND(L16&lt;&gt;"",INDEX('В10 Каталог'!$H$5:$H$19,MATCH(L16,'В10 Каталог'!$B$5:$B$19,0))="Ні"),"Захід недоступний","ОК")))))))))</f>
        <v/>
      </c>
      <c r="S16" s="12" t="n"/>
    </row>
    <row r="17">
      <c r="A17" s="14" t="n">
        <v>13</v>
      </c>
      <c r="B17" s="12" t="n"/>
      <c r="C17" s="12" t="n"/>
      <c r="D17" s="12" t="n"/>
      <c r="E17" s="12" t="n"/>
      <c r="F17" s="22" t="n"/>
      <c r="G17" s="22" t="n"/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n"/>
      <c r="L17" s="12" t="n"/>
      <c r="M17" s="23">
        <f>IF(L17="",0,IFERROR(IF(ISNUMBER(SEARCH(E17,INDEX('В10 Каталог'!$D$5:$D$19,MATCH(L17,'В10 Каталог'!$B$5:$B$19,0)))),INDEX('В10 Каталог'!$E$5:$E$19,MATCH(L17,'В10 Каталог'!$B$5:$B$19,0)),0),0))</f>
        <v/>
      </c>
      <c r="N17" s="23">
        <f>IF(L17="",0,IFERROR(IF(ISNUMBER(SEARCH(E17,INDEX('В10 Каталог'!$D$5:$D$19,MATCH(L17,'В10 Каталог'!$B$5:$B$19,0)))),INDEX('В10 Каталог'!$F$5:$F$19,MATCH(L17,'В10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категорію",IF(AND(L17&lt;&gt;"",INDEX('В10 Каталог'!$H$5:$H$19,MATCH(L17,'В10 Каталог'!$B$5:$B$19,0))="Ні"),"Захід недоступний","ОК")))))))))</f>
        <v/>
      </c>
      <c r="S17" s="12" t="n"/>
    </row>
    <row r="18">
      <c r="A18" s="14" t="n">
        <v>14</v>
      </c>
      <c r="B18" s="12" t="n"/>
      <c r="C18" s="12" t="n"/>
      <c r="D18" s="12" t="n"/>
      <c r="E18" s="12" t="n"/>
      <c r="F18" s="22" t="n"/>
      <c r="G18" s="22" t="n"/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n"/>
      <c r="L18" s="12" t="n"/>
      <c r="M18" s="23">
        <f>IF(L18="",0,IFERROR(IF(ISNUMBER(SEARCH(E18,INDEX('В10 Каталог'!$D$5:$D$19,MATCH(L18,'В10 Каталог'!$B$5:$B$19,0)))),INDEX('В10 Каталог'!$E$5:$E$19,MATCH(L18,'В10 Каталог'!$B$5:$B$19,0)),0),0))</f>
        <v/>
      </c>
      <c r="N18" s="23">
        <f>IF(L18="",0,IFERROR(IF(ISNUMBER(SEARCH(E18,INDEX('В10 Каталог'!$D$5:$D$19,MATCH(L18,'В10 Каталог'!$B$5:$B$19,0)))),INDEX('В10 Каталог'!$F$5:$F$19,MATCH(L18,'В10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категорію",IF(AND(L18&lt;&gt;"",INDEX('В10 Каталог'!$H$5:$H$19,MATCH(L18,'В10 Каталог'!$B$5:$B$19,0))="Ні"),"Захід недоступний","ОК")))))))))</f>
        <v/>
      </c>
      <c r="S18" s="12" t="n"/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IF(L19="",0,IFERROR(IF(ISNUMBER(SEARCH(E19,INDEX('В10 Каталог'!$D$5:$D$19,MATCH(L19,'В10 Каталог'!$B$5:$B$19,0)))),INDEX('В10 Каталог'!$E$5:$E$19,MATCH(L19,'В10 Каталог'!$B$5:$B$19,0)),0),0))</f>
        <v/>
      </c>
      <c r="N19" s="23">
        <f>IF(L19="",0,IFERROR(IF(ISNUMBER(SEARCH(E19,INDEX('В10 Каталог'!$D$5:$D$19,MATCH(L19,'В10 Каталог'!$B$5:$B$19,0)))),INDEX('В10 Каталог'!$F$5:$F$19,MATCH(L19,'В10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категорію",IF(AND(L19&lt;&gt;"",INDEX('В10 Каталог'!$H$5:$H$19,MATCH(L19,'В10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IF(L20="",0,IFERROR(IF(ISNUMBER(SEARCH(E20,INDEX('В10 Каталог'!$D$5:$D$19,MATCH(L20,'В10 Каталог'!$B$5:$B$19,0)))),INDEX('В10 Каталог'!$E$5:$E$19,MATCH(L20,'В10 Каталог'!$B$5:$B$19,0)),0),0))</f>
        <v/>
      </c>
      <c r="N20" s="23">
        <f>IF(L20="",0,IFERROR(IF(ISNUMBER(SEARCH(E20,INDEX('В10 Каталог'!$D$5:$D$19,MATCH(L20,'В10 Каталог'!$B$5:$B$19,0)))),INDEX('В10 Каталог'!$F$5:$F$19,MATCH(L20,'В10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категорію",IF(AND(L20&lt;&gt;"",INDEX('В10 Каталог'!$H$5:$H$19,MATCH(L20,'В10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IF(L21="",0,IFERROR(IF(ISNUMBER(SEARCH(E21,INDEX('В10 Каталог'!$D$5:$D$19,MATCH(L21,'В10 Каталог'!$B$5:$B$19,0)))),INDEX('В10 Каталог'!$E$5:$E$19,MATCH(L21,'В10 Каталог'!$B$5:$B$19,0)),0),0))</f>
        <v/>
      </c>
      <c r="N21" s="23">
        <f>IF(L21="",0,IFERROR(IF(ISNUMBER(SEARCH(E21,INDEX('В10 Каталог'!$D$5:$D$19,MATCH(L21,'В10 Каталог'!$B$5:$B$19,0)))),INDEX('В10 Каталог'!$F$5:$F$19,MATCH(L21,'В10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категорію",IF(AND(L21&lt;&gt;"",INDEX('В10 Каталог'!$H$5:$H$19,MATCH(L21,'В10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IF(L22="",0,IFERROR(IF(ISNUMBER(SEARCH(E22,INDEX('В10 Каталог'!$D$5:$D$19,MATCH(L22,'В10 Каталог'!$B$5:$B$19,0)))),INDEX('В10 Каталог'!$E$5:$E$19,MATCH(L22,'В10 Каталог'!$B$5:$B$19,0)),0),0))</f>
        <v/>
      </c>
      <c r="N22" s="23">
        <f>IF(L22="",0,IFERROR(IF(ISNUMBER(SEARCH(E22,INDEX('В10 Каталог'!$D$5:$D$19,MATCH(L22,'В10 Каталог'!$B$5:$B$19,0)))),INDEX('В10 Каталог'!$F$5:$F$19,MATCH(L22,'В10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категорію",IF(AND(L22&lt;&gt;"",INDEX('В10 Каталог'!$H$5:$H$19,MATCH(L22,'В10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IF(L23="",0,IFERROR(IF(ISNUMBER(SEARCH(E23,INDEX('В10 Каталог'!$D$5:$D$19,MATCH(L23,'В10 Каталог'!$B$5:$B$19,0)))),INDEX('В10 Каталог'!$E$5:$E$19,MATCH(L23,'В10 Каталог'!$B$5:$B$19,0)),0),0))</f>
        <v/>
      </c>
      <c r="N23" s="23">
        <f>IF(L23="",0,IFERROR(IF(ISNUMBER(SEARCH(E23,INDEX('В10 Каталог'!$D$5:$D$19,MATCH(L23,'В10 Каталог'!$B$5:$B$19,0)))),INDEX('В10 Каталог'!$F$5:$F$19,MATCH(L23,'В10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категорію",IF(AND(L23&lt;&gt;"",INDEX('В10 Каталог'!$H$5:$H$19,MATCH(L23,'В10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IF(L24="",0,IFERROR(IF(ISNUMBER(SEARCH(E24,INDEX('В10 Каталог'!$D$5:$D$19,MATCH(L24,'В10 Каталог'!$B$5:$B$19,0)))),INDEX('В10 Каталог'!$E$5:$E$19,MATCH(L24,'В10 Каталог'!$B$5:$B$19,0)),0),0))</f>
        <v/>
      </c>
      <c r="N24" s="23">
        <f>IF(L24="",0,IFERROR(IF(ISNUMBER(SEARCH(E24,INDEX('В10 Каталог'!$D$5:$D$19,MATCH(L24,'В10 Каталог'!$B$5:$B$19,0)))),INDEX('В10 Каталог'!$F$5:$F$19,MATCH(L24,'В10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категорію",IF(AND(L24&lt;&gt;"",INDEX('В10 Каталог'!$H$5:$H$19,MATCH(L24,'В10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='В10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='В10 Каталог'!$B$5:$B$19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tabColor rgb="005F6B76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3"/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COUNTIFS('В10 Ризики'!$F$5:$F$24,1,'В10 Ризики'!$G$5:$G$24,5)</f>
        <v/>
      </c>
      <c r="C6" s="26">
        <f>COUNTIFS('В10 Ризики'!$F$5:$F$24,2,'В10 Ризики'!$G$5:$G$24,5)</f>
        <v/>
      </c>
      <c r="D6" s="26">
        <f>COUNTIFS('В10 Ризики'!$F$5:$F$24,3,'В10 Ризики'!$G$5:$G$24,5)</f>
        <v/>
      </c>
      <c r="E6" s="27">
        <f>COUNTIFS('В10 Ризики'!$F$5:$F$24,4,'В10 Ризики'!$G$5:$G$24,5)</f>
        <v/>
      </c>
      <c r="F6" s="27">
        <f>COUNTIFS('В10 Ризики'!$F$5:$F$24,5,'В10 Ризики'!$G$5:$G$24,5)</f>
        <v/>
      </c>
      <c r="I6" s="24" t="inlineStr">
        <is>
          <t>C = 5</t>
        </is>
      </c>
      <c r="J6" s="25">
        <f>COUNTIFS('В10 Ризики'!$O$5:$O$24,1,'В10 Ризики'!$P$5:$P$24,5)</f>
        <v/>
      </c>
      <c r="K6" s="26">
        <f>COUNTIFS('В10 Ризики'!$O$5:$O$24,2,'В10 Ризики'!$P$5:$P$24,5)</f>
        <v/>
      </c>
      <c r="L6" s="26">
        <f>COUNTIFS('В10 Ризики'!$O$5:$O$24,3,'В10 Ризики'!$P$5:$P$24,5)</f>
        <v/>
      </c>
      <c r="M6" s="27">
        <f>COUNTIFS('В10 Ризики'!$O$5:$O$24,4,'В10 Ризики'!$P$5:$P$24,5)</f>
        <v/>
      </c>
      <c r="N6" s="27">
        <f>COUNTIFS('В10 Ризики'!$O$5:$O$24,5,'В10 Ризики'!$P$5:$P$24,5)</f>
        <v/>
      </c>
    </row>
    <row r="7" ht="34" customHeight="1">
      <c r="A7" s="24" t="inlineStr">
        <is>
          <t>C = 4</t>
        </is>
      </c>
      <c r="B7" s="28">
        <f>COUNTIFS('В10 Ризики'!$F$5:$F$24,1,'В10 Ризики'!$G$5:$G$24,4)</f>
        <v/>
      </c>
      <c r="C7" s="25">
        <f>COUNTIFS('В10 Ризики'!$F$5:$F$24,2,'В10 Ризики'!$G$5:$G$24,4)</f>
        <v/>
      </c>
      <c r="D7" s="26">
        <f>COUNTIFS('В10 Ризики'!$F$5:$F$24,3,'В10 Ризики'!$G$5:$G$24,4)</f>
        <v/>
      </c>
      <c r="E7" s="26">
        <f>COUNTIFS('В10 Ризики'!$F$5:$F$24,4,'В10 Ризики'!$G$5:$G$24,4)</f>
        <v/>
      </c>
      <c r="F7" s="27">
        <f>COUNTIFS('В10 Ризики'!$F$5:$F$24,5,'В10 Ризики'!$G$5:$G$24,4)</f>
        <v/>
      </c>
      <c r="I7" s="24" t="inlineStr">
        <is>
          <t>C = 4</t>
        </is>
      </c>
      <c r="J7" s="28">
        <f>COUNTIFS('В10 Ризики'!$O$5:$O$24,1,'В10 Ризики'!$P$5:$P$24,4)</f>
        <v/>
      </c>
      <c r="K7" s="25">
        <f>COUNTIFS('В10 Ризики'!$O$5:$O$24,2,'В10 Ризики'!$P$5:$P$24,4)</f>
        <v/>
      </c>
      <c r="L7" s="26">
        <f>COUNTIFS('В10 Ризики'!$O$5:$O$24,3,'В10 Ризики'!$P$5:$P$24,4)</f>
        <v/>
      </c>
      <c r="M7" s="26">
        <f>COUNTIFS('В10 Ризики'!$O$5:$O$24,4,'В10 Ризики'!$P$5:$P$24,4)</f>
        <v/>
      </c>
      <c r="N7" s="27">
        <f>COUNTIFS('В10 Ризики'!$O$5:$O$24,5,'В10 Ризики'!$P$5:$P$24,4)</f>
        <v/>
      </c>
    </row>
    <row r="8" ht="34" customHeight="1">
      <c r="A8" s="24" t="inlineStr">
        <is>
          <t>C = 3</t>
        </is>
      </c>
      <c r="B8" s="28">
        <f>COUNTIFS('В10 Ризики'!$F$5:$F$24,1,'В10 Ризики'!$G$5:$G$24,3)</f>
        <v/>
      </c>
      <c r="C8" s="25">
        <f>COUNTIFS('В10 Ризики'!$F$5:$F$24,2,'В10 Ризики'!$G$5:$G$24,3)</f>
        <v/>
      </c>
      <c r="D8" s="25">
        <f>COUNTIFS('В10 Ризики'!$F$5:$F$24,3,'В10 Ризики'!$G$5:$G$24,3)</f>
        <v/>
      </c>
      <c r="E8" s="26">
        <f>COUNTIFS('В10 Ризики'!$F$5:$F$24,4,'В10 Ризики'!$G$5:$G$24,3)</f>
        <v/>
      </c>
      <c r="F8" s="26">
        <f>COUNTIFS('В10 Ризики'!$F$5:$F$24,5,'В10 Ризики'!$G$5:$G$24,3)</f>
        <v/>
      </c>
      <c r="I8" s="24" t="inlineStr">
        <is>
          <t>C = 3</t>
        </is>
      </c>
      <c r="J8" s="28">
        <f>COUNTIFS('В10 Ризики'!$O$5:$O$24,1,'В10 Ризики'!$P$5:$P$24,3)</f>
        <v/>
      </c>
      <c r="K8" s="25">
        <f>COUNTIFS('В10 Ризики'!$O$5:$O$24,2,'В10 Ризики'!$P$5:$P$24,3)</f>
        <v/>
      </c>
      <c r="L8" s="25">
        <f>COUNTIFS('В10 Ризики'!$O$5:$O$24,3,'В10 Ризики'!$P$5:$P$24,3)</f>
        <v/>
      </c>
      <c r="M8" s="26">
        <f>COUNTIFS('В10 Ризики'!$O$5:$O$24,4,'В10 Ризики'!$P$5:$P$24,3)</f>
        <v/>
      </c>
      <c r="N8" s="26">
        <f>COUNTIFS('В10 Ризики'!$O$5:$O$24,5,'В10 Ризики'!$P$5:$P$24,3)</f>
        <v/>
      </c>
    </row>
    <row r="9" ht="34" customHeight="1">
      <c r="A9" s="24" t="inlineStr">
        <is>
          <t>C = 2</t>
        </is>
      </c>
      <c r="B9" s="28">
        <f>COUNTIFS('В10 Ризики'!$F$5:$F$24,1,'В10 Ризики'!$G$5:$G$24,2)</f>
        <v/>
      </c>
      <c r="C9" s="28">
        <f>COUNTIFS('В10 Ризики'!$F$5:$F$24,2,'В10 Ризики'!$G$5:$G$24,2)</f>
        <v/>
      </c>
      <c r="D9" s="25">
        <f>COUNTIFS('В10 Ризики'!$F$5:$F$24,3,'В10 Ризики'!$G$5:$G$24,2)</f>
        <v/>
      </c>
      <c r="E9" s="25">
        <f>COUNTIFS('В10 Ризики'!$F$5:$F$24,4,'В10 Ризики'!$G$5:$G$24,2)</f>
        <v/>
      </c>
      <c r="F9" s="26">
        <f>COUNTIFS('В10 Ризики'!$F$5:$F$24,5,'В10 Ризики'!$G$5:$G$24,2)</f>
        <v/>
      </c>
      <c r="I9" s="24" t="inlineStr">
        <is>
          <t>C = 2</t>
        </is>
      </c>
      <c r="J9" s="28">
        <f>COUNTIFS('В10 Ризики'!$O$5:$O$24,1,'В10 Ризики'!$P$5:$P$24,2)</f>
        <v/>
      </c>
      <c r="K9" s="28">
        <f>COUNTIFS('В10 Ризики'!$O$5:$O$24,2,'В10 Ризики'!$P$5:$P$24,2)</f>
        <v/>
      </c>
      <c r="L9" s="25">
        <f>COUNTIFS('В10 Ризики'!$O$5:$O$24,3,'В10 Ризики'!$P$5:$P$24,2)</f>
        <v/>
      </c>
      <c r="M9" s="25">
        <f>COUNTIFS('В10 Ризики'!$O$5:$O$24,4,'В10 Ризики'!$P$5:$P$24,2)</f>
        <v/>
      </c>
      <c r="N9" s="26">
        <f>COUNTIFS('В10 Ризики'!$O$5:$O$24,5,'В10 Ризики'!$P$5:$P$24,2)</f>
        <v/>
      </c>
    </row>
    <row r="10" ht="34" customHeight="1">
      <c r="A10" s="24" t="inlineStr">
        <is>
          <t>C = 1</t>
        </is>
      </c>
      <c r="B10" s="28">
        <f>COUNTIFS('В10 Ризики'!$F$5:$F$24,1,'В10 Ризики'!$G$5:$G$24,1)</f>
        <v/>
      </c>
      <c r="C10" s="28">
        <f>COUNTIFS('В10 Ризики'!$F$5:$F$24,2,'В10 Ризики'!$G$5:$G$24,1)</f>
        <v/>
      </c>
      <c r="D10" s="28">
        <f>COUNTIFS('В10 Ризики'!$F$5:$F$24,3,'В10 Ризики'!$G$5:$G$24,1)</f>
        <v/>
      </c>
      <c r="E10" s="28">
        <f>COUNTIFS('В10 Ризики'!$F$5:$F$24,4,'В10 Ризики'!$G$5:$G$24,1)</f>
        <v/>
      </c>
      <c r="F10" s="25">
        <f>COUNTIFS('В10 Ризики'!$F$5:$F$24,5,'В10 Ризики'!$G$5:$G$24,1)</f>
        <v/>
      </c>
      <c r="I10" s="24" t="inlineStr">
        <is>
          <t>C = 1</t>
        </is>
      </c>
      <c r="J10" s="28">
        <f>COUNTIFS('В10 Ризики'!$O$5:$O$24,1,'В10 Ризики'!$P$5:$P$24,1)</f>
        <v/>
      </c>
      <c r="K10" s="28">
        <f>COUNTIFS('В10 Ризики'!$O$5:$O$24,2,'В10 Ризики'!$P$5:$P$24,1)</f>
        <v/>
      </c>
      <c r="L10" s="28">
        <f>COUNTIFS('В10 Ризики'!$O$5:$O$24,3,'В10 Ризики'!$P$5:$P$24,1)</f>
        <v/>
      </c>
      <c r="M10" s="28">
        <f>COUNTIFS('В10 Ризики'!$O$5:$O$24,4,'В10 Ризики'!$P$5:$P$24,1)</f>
        <v/>
      </c>
      <c r="N10" s="25">
        <f>COUNTIFS('В10 Ризики'!$O$5:$O$24,5,'В10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2"/>
    <row r="13"/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tabColor rgb="005F6B7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2"/>
    <row r="3"/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SUM('В10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SUM('В10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SUM('В10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COUNTIF('В10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SUMPRODUCT(('В10 Ризики'!J5:J24="Так")*('В10 Ризики'!R5:R24&lt;&gt;"ОК"))</f>
        <v/>
      </c>
    </row>
    <row r="13">
      <c r="A13" s="31" t="inlineStr">
        <is>
          <t>Ризики у реєстрі</t>
        </is>
      </c>
      <c r="B13" s="33">
        <f>COUNTA('В10 Ризики'!B5:B24)</f>
        <v/>
      </c>
    </row>
    <row r="14"/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tabColor rgb="005F6B7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3"/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/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n"/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15EA09E6D44F04384841D5FBD71E5CF" ma:contentTypeVersion="4" ma:contentTypeDescription="Створення нового документа." ma:contentTypeScope="" ma:versionID="19ef49009c02501cdf63fa9c76fb0ddf">
  <xsd:schema xmlns:xsd="http://www.w3.org/2001/XMLSchema" xmlns:xs="http://www.w3.org/2001/XMLSchema" xmlns:p="http://schemas.microsoft.com/office/2006/metadata/properties" xmlns:ns2="8f3bc569-9ab2-4830-a415-693d9bfcfeb5" targetNamespace="http://schemas.microsoft.com/office/2006/metadata/properties" ma:root="true" ma:fieldsID="7fa71622a43fff10fba745f8a14a06f8" ns2:_="">
    <xsd:import namespace="8f3bc569-9ab2-4830-a415-693d9bfcfe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bc569-9ab2-4830-a415-693d9bfcfeb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f3bc569-9ab2-4830-a415-693d9bfcfeb5" xsi:nil="true"/>
  </documentManagement>
</p:properties>
</file>

<file path=customXml/itemProps1.xml><?xml version="1.0" encoding="utf-8"?>
<ds:datastoreItem xmlns:ds="http://schemas.openxmlformats.org/officeDocument/2006/customXml" ds:itemID="{17571F25-A911-4E30-872F-81F6E688B548}"/>
</file>

<file path=customXml/itemProps2.xml><?xml version="1.0" encoding="utf-8"?>
<ds:datastoreItem xmlns:ds="http://schemas.openxmlformats.org/officeDocument/2006/customXml" ds:itemID="{636ACC0F-A128-4A18-B1F8-7F0B18192C9A}"/>
</file>

<file path=customXml/itemProps3.xml><?xml version="1.0" encoding="utf-8"?>
<ds:datastoreItem xmlns:ds="http://schemas.openxmlformats.org/officeDocument/2006/customXml" ds:itemID="{08C9B7F0-7AAC-4F02-B4A2-1B61A1097A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2026-10-20T08:50:24Z</dcterms:created>
  <dcterms:modified xsi:type="dcterms:W3CDTF">2026-10-20T08:50:31Z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0x010100515EA09E6D44F04384841D5FBD71E5CF</vt:lpwstr>
  </property>
</Properties>
</file>