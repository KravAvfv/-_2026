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D:\working\waccache\WA1PEPF0000065D\EXCELCNV\cf3f1314-9ebf-4a81-9e1e-adde0b625aa7\"/>
    </mc:Choice>
  </mc:AlternateContent>
  <xr:revisionPtr revIDLastSave="0" documentId="8_{49E041D6-BAE7-4711-8F80-30C13521672C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Зміст" sheetId="1" r:id="rId1"/>
    <sheet name="В01 Інструкція" sheetId="2" r:id="rId2"/>
    <sheet name="В01 Картка" sheetId="3" r:id="rId3"/>
    <sheet name="В01 Пристрої" sheetId="4" r:id="rId4"/>
    <sheet name="В01 Чернетка колеги" sheetId="5" r:id="rId5"/>
    <sheet name="В01 Зони й адреси" sheetId="6" r:id="rId6"/>
    <sheet name="В01 Підсумок" sheetId="7" r:id="rId7"/>
    <sheet name="В01 Обґрунтування" sheetId="8" r:id="rId8"/>
    <sheet name="В02 Інструкція" sheetId="9" r:id="rId9"/>
    <sheet name="В02 Картка" sheetId="10" r:id="rId10"/>
    <sheet name="В02 Пристрої" sheetId="11" r:id="rId11"/>
    <sheet name="В02 Чернетка колеги" sheetId="12" r:id="rId12"/>
    <sheet name="В02 Зони й адреси" sheetId="13" r:id="rId13"/>
    <sheet name="В02 Підсумок" sheetId="14" r:id="rId14"/>
    <sheet name="В02 Обґрунтування" sheetId="15" r:id="rId15"/>
    <sheet name="В03 Інструкція" sheetId="16" r:id="rId16"/>
    <sheet name="В03 Картка" sheetId="17" r:id="rId17"/>
    <sheet name="В03 Пристрої" sheetId="18" r:id="rId18"/>
    <sheet name="В03 Чернетка колеги" sheetId="19" r:id="rId19"/>
    <sheet name="В03 Зони й адреси" sheetId="20" r:id="rId20"/>
    <sheet name="В03 Підсумок" sheetId="21" r:id="rId21"/>
    <sheet name="В03 Обґрунтування" sheetId="22" r:id="rId22"/>
    <sheet name="В04 Інструкція" sheetId="23" r:id="rId23"/>
    <sheet name="В04 Картка" sheetId="24" r:id="rId24"/>
    <sheet name="В04 Пристрої" sheetId="25" r:id="rId25"/>
    <sheet name="В04 Чернетка колеги" sheetId="26" r:id="rId26"/>
    <sheet name="В04 Зони й адреси" sheetId="27" r:id="rId27"/>
    <sheet name="В04 Підсумок" sheetId="28" r:id="rId28"/>
    <sheet name="В04 Обґрунтування" sheetId="29" r:id="rId29"/>
    <sheet name="В05 Інструкція" sheetId="30" r:id="rId30"/>
    <sheet name="В05 Картка" sheetId="31" r:id="rId31"/>
    <sheet name="В05 Пристрої" sheetId="32" r:id="rId32"/>
    <sheet name="В05 Чернетка колеги" sheetId="33" r:id="rId33"/>
    <sheet name="В05 Зони й адреси" sheetId="34" r:id="rId34"/>
    <sheet name="В05 Підсумок" sheetId="35" r:id="rId35"/>
    <sheet name="В05 Обґрунтування" sheetId="36" r:id="rId36"/>
    <sheet name="В06 Інструкція" sheetId="37" r:id="rId37"/>
    <sheet name="В06 Картка" sheetId="38" r:id="rId38"/>
    <sheet name="В06 Пристрої" sheetId="39" r:id="rId39"/>
    <sheet name="В06 Чернетка колеги" sheetId="40" r:id="rId40"/>
    <sheet name="В06 Зони й адреси" sheetId="41" r:id="rId41"/>
    <sheet name="В06 Підсумок" sheetId="42" r:id="rId42"/>
    <sheet name="В06 Обґрунтування" sheetId="43" r:id="rId43"/>
    <sheet name="В07 Інструкція" sheetId="44" r:id="rId44"/>
    <sheet name="В07 Картка" sheetId="45" r:id="rId45"/>
    <sheet name="В07 Пристрої" sheetId="46" r:id="rId46"/>
    <sheet name="В07 Чернетка колеги" sheetId="47" r:id="rId47"/>
    <sheet name="В07 Зони й адреси" sheetId="48" r:id="rId48"/>
    <sheet name="В07 Підсумок" sheetId="49" r:id="rId49"/>
    <sheet name="В07 Обґрунтування" sheetId="50" r:id="rId50"/>
    <sheet name="В08 Інструкція" sheetId="51" r:id="rId51"/>
    <sheet name="В08 Картка" sheetId="52" r:id="rId52"/>
    <sheet name="В08 Пристрої" sheetId="53" r:id="rId53"/>
    <sheet name="В08 Чернетка колеги" sheetId="54" r:id="rId54"/>
    <sheet name="В08 Зони й адреси" sheetId="55" r:id="rId55"/>
    <sheet name="В08 Підсумок" sheetId="56" r:id="rId56"/>
    <sheet name="В08 Обґрунтування" sheetId="57" r:id="rId57"/>
    <sheet name="В09 Інструкція" sheetId="58" r:id="rId58"/>
    <sheet name="В09 Картка" sheetId="59" r:id="rId59"/>
    <sheet name="В09 Пристрої" sheetId="60" r:id="rId60"/>
    <sheet name="В09 Чернетка колеги" sheetId="61" r:id="rId61"/>
    <sheet name="В09 Зони й адреси" sheetId="62" r:id="rId62"/>
    <sheet name="В09 Підсумок" sheetId="63" r:id="rId63"/>
    <sheet name="В09 Обґрунтування" sheetId="64" r:id="rId64"/>
    <sheet name="В10 Інструкція" sheetId="65" r:id="rId65"/>
    <sheet name="В10 Картка" sheetId="66" r:id="rId66"/>
    <sheet name="В10 Пристрої" sheetId="67" r:id="rId67"/>
    <sheet name="В10 Чернетка колеги" sheetId="68" r:id="rId68"/>
    <sheet name="В10 Зони й адреси" sheetId="69" r:id="rId69"/>
    <sheet name="В10 Підсумок" sheetId="70" r:id="rId70"/>
    <sheet name="В10 Обґрунтування" sheetId="71" r:id="rId7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0" l="1"/>
  <c r="B9" i="70"/>
  <c r="B5" i="70"/>
  <c r="B4" i="70"/>
  <c r="L20" i="69"/>
  <c r="B8" i="70" s="1"/>
  <c r="U13" i="69"/>
  <c r="T13" i="69"/>
  <c r="S13" i="69"/>
  <c r="R13" i="69"/>
  <c r="Q13" i="69"/>
  <c r="P13" i="69"/>
  <c r="K13" i="69"/>
  <c r="C13" i="69"/>
  <c r="N13" i="69" s="1"/>
  <c r="O13" i="69" s="1"/>
  <c r="U12" i="69"/>
  <c r="T12" i="69"/>
  <c r="S12" i="69"/>
  <c r="R12" i="69"/>
  <c r="Q12" i="69"/>
  <c r="P12" i="69"/>
  <c r="K12" i="69"/>
  <c r="C12" i="69"/>
  <c r="N12" i="69" s="1"/>
  <c r="O12" i="69" s="1"/>
  <c r="U11" i="69"/>
  <c r="T11" i="69"/>
  <c r="S11" i="69"/>
  <c r="R11" i="69"/>
  <c r="Q11" i="69"/>
  <c r="P11" i="69"/>
  <c r="K11" i="69"/>
  <c r="C11" i="69"/>
  <c r="N11" i="69" s="1"/>
  <c r="O11" i="69" s="1"/>
  <c r="U10" i="69"/>
  <c r="T10" i="69"/>
  <c r="S10" i="69"/>
  <c r="R10" i="69"/>
  <c r="Q10" i="69"/>
  <c r="P10" i="69"/>
  <c r="K10" i="69"/>
  <c r="C10" i="69"/>
  <c r="N10" i="69" s="1"/>
  <c r="O10" i="69" s="1"/>
  <c r="U9" i="69"/>
  <c r="T9" i="69"/>
  <c r="S9" i="69"/>
  <c r="R9" i="69"/>
  <c r="Q9" i="69"/>
  <c r="P9" i="69"/>
  <c r="K9" i="69"/>
  <c r="C9" i="69"/>
  <c r="N9" i="69" s="1"/>
  <c r="O9" i="69" s="1"/>
  <c r="U8" i="69"/>
  <c r="T8" i="69"/>
  <c r="S8" i="69"/>
  <c r="R8" i="69"/>
  <c r="Q8" i="69"/>
  <c r="P8" i="69"/>
  <c r="K8" i="69"/>
  <c r="C8" i="69"/>
  <c r="N8" i="69" s="1"/>
  <c r="O8" i="69" s="1"/>
  <c r="U7" i="69"/>
  <c r="T7" i="69"/>
  <c r="S7" i="69"/>
  <c r="R7" i="69"/>
  <c r="Q7" i="69"/>
  <c r="P7" i="69"/>
  <c r="K7" i="69"/>
  <c r="C7" i="69"/>
  <c r="N7" i="69" s="1"/>
  <c r="O7" i="69" s="1"/>
  <c r="U6" i="69"/>
  <c r="T6" i="69"/>
  <c r="S6" i="69"/>
  <c r="R6" i="69"/>
  <c r="Q6" i="69"/>
  <c r="P6" i="69"/>
  <c r="K6" i="69"/>
  <c r="C6" i="69"/>
  <c r="N6" i="69" s="1"/>
  <c r="O6" i="69" s="1"/>
  <c r="U5" i="69"/>
  <c r="T5" i="69"/>
  <c r="S5" i="69"/>
  <c r="R5" i="69"/>
  <c r="Q5" i="69"/>
  <c r="P5" i="69"/>
  <c r="K5" i="69"/>
  <c r="C5" i="69"/>
  <c r="F25" i="67"/>
  <c r="F24" i="67"/>
  <c r="F23" i="67"/>
  <c r="F22" i="67"/>
  <c r="F21" i="67"/>
  <c r="F20" i="67"/>
  <c r="F19" i="67"/>
  <c r="F18" i="67"/>
  <c r="F17" i="67"/>
  <c r="F16" i="67"/>
  <c r="F15" i="67"/>
  <c r="F14" i="67"/>
  <c r="F13" i="67"/>
  <c r="F12" i="67"/>
  <c r="F11" i="67"/>
  <c r="F10" i="67"/>
  <c r="F9" i="67"/>
  <c r="F8" i="67"/>
  <c r="F7" i="67"/>
  <c r="F6" i="67"/>
  <c r="F5" i="67"/>
  <c r="B6" i="70" s="1"/>
  <c r="B10" i="63"/>
  <c r="B9" i="63"/>
  <c r="B5" i="63"/>
  <c r="B4" i="63"/>
  <c r="L20" i="62"/>
  <c r="B8" i="63" s="1"/>
  <c r="U13" i="62"/>
  <c r="T13" i="62"/>
  <c r="S13" i="62"/>
  <c r="R13" i="62"/>
  <c r="Q13" i="62"/>
  <c r="P13" i="62"/>
  <c r="K13" i="62"/>
  <c r="C13" i="62"/>
  <c r="N13" i="62" s="1"/>
  <c r="O13" i="62" s="1"/>
  <c r="U12" i="62"/>
  <c r="T12" i="62"/>
  <c r="S12" i="62"/>
  <c r="R12" i="62"/>
  <c r="Q12" i="62"/>
  <c r="P12" i="62"/>
  <c r="K12" i="62"/>
  <c r="C12" i="62"/>
  <c r="N12" i="62" s="1"/>
  <c r="O12" i="62" s="1"/>
  <c r="U11" i="62"/>
  <c r="T11" i="62"/>
  <c r="S11" i="62"/>
  <c r="R11" i="62"/>
  <c r="Q11" i="62"/>
  <c r="P11" i="62"/>
  <c r="K11" i="62"/>
  <c r="C11" i="62"/>
  <c r="N11" i="62" s="1"/>
  <c r="O11" i="62" s="1"/>
  <c r="U10" i="62"/>
  <c r="T10" i="62"/>
  <c r="S10" i="62"/>
  <c r="R10" i="62"/>
  <c r="Q10" i="62"/>
  <c r="P10" i="62"/>
  <c r="K10" i="62"/>
  <c r="C10" i="62"/>
  <c r="N10" i="62" s="1"/>
  <c r="O10" i="62" s="1"/>
  <c r="U9" i="62"/>
  <c r="T9" i="62"/>
  <c r="S9" i="62"/>
  <c r="R9" i="62"/>
  <c r="Q9" i="62"/>
  <c r="P9" i="62"/>
  <c r="K9" i="62"/>
  <c r="C9" i="62"/>
  <c r="N9" i="62" s="1"/>
  <c r="O9" i="62" s="1"/>
  <c r="U8" i="62"/>
  <c r="T8" i="62"/>
  <c r="S8" i="62"/>
  <c r="R8" i="62"/>
  <c r="Q8" i="62"/>
  <c r="P8" i="62"/>
  <c r="K8" i="62"/>
  <c r="C8" i="62"/>
  <c r="N8" i="62" s="1"/>
  <c r="O8" i="62" s="1"/>
  <c r="U7" i="62"/>
  <c r="T7" i="62"/>
  <c r="S7" i="62"/>
  <c r="R7" i="62"/>
  <c r="Q7" i="62"/>
  <c r="P7" i="62"/>
  <c r="K7" i="62"/>
  <c r="C7" i="62"/>
  <c r="N7" i="62" s="1"/>
  <c r="O7" i="62" s="1"/>
  <c r="U6" i="62"/>
  <c r="T6" i="62"/>
  <c r="S6" i="62"/>
  <c r="R6" i="62"/>
  <c r="Q6" i="62"/>
  <c r="P6" i="62"/>
  <c r="K6" i="62"/>
  <c r="C6" i="62"/>
  <c r="N6" i="62" s="1"/>
  <c r="O6" i="62" s="1"/>
  <c r="U5" i="62"/>
  <c r="T5" i="62"/>
  <c r="S5" i="62"/>
  <c r="R5" i="62"/>
  <c r="Q5" i="62"/>
  <c r="P5" i="62"/>
  <c r="K5" i="62"/>
  <c r="C5" i="62"/>
  <c r="F25" i="60"/>
  <c r="F24" i="60"/>
  <c r="F23" i="60"/>
  <c r="F22" i="60"/>
  <c r="F21" i="60"/>
  <c r="F20" i="60"/>
  <c r="F19" i="60"/>
  <c r="F18" i="60"/>
  <c r="F17" i="60"/>
  <c r="F16" i="60"/>
  <c r="F15" i="60"/>
  <c r="F14" i="60"/>
  <c r="F13" i="60"/>
  <c r="F12" i="60"/>
  <c r="F11" i="60"/>
  <c r="F10" i="60"/>
  <c r="F9" i="60"/>
  <c r="F8" i="60"/>
  <c r="F7" i="60"/>
  <c r="F6" i="60"/>
  <c r="F5" i="60"/>
  <c r="B6" i="63" s="1"/>
  <c r="B10" i="56"/>
  <c r="B9" i="56"/>
  <c r="B5" i="56"/>
  <c r="B4" i="56"/>
  <c r="L20" i="55"/>
  <c r="B8" i="56" s="1"/>
  <c r="U13" i="55"/>
  <c r="T13" i="55"/>
  <c r="S13" i="55"/>
  <c r="R13" i="55"/>
  <c r="Q13" i="55"/>
  <c r="P13" i="55"/>
  <c r="K13" i="55"/>
  <c r="C13" i="55"/>
  <c r="N13" i="55" s="1"/>
  <c r="O13" i="55" s="1"/>
  <c r="U12" i="55"/>
  <c r="T12" i="55"/>
  <c r="S12" i="55"/>
  <c r="R12" i="55"/>
  <c r="Q12" i="55"/>
  <c r="P12" i="55"/>
  <c r="K12" i="55"/>
  <c r="C12" i="55"/>
  <c r="N12" i="55" s="1"/>
  <c r="O12" i="55" s="1"/>
  <c r="U11" i="55"/>
  <c r="T11" i="55"/>
  <c r="S11" i="55"/>
  <c r="R11" i="55"/>
  <c r="Q11" i="55"/>
  <c r="P11" i="55"/>
  <c r="K11" i="55"/>
  <c r="C11" i="55"/>
  <c r="N11" i="55" s="1"/>
  <c r="O11" i="55" s="1"/>
  <c r="U10" i="55"/>
  <c r="T10" i="55"/>
  <c r="S10" i="55"/>
  <c r="R10" i="55"/>
  <c r="Q10" i="55"/>
  <c r="P10" i="55"/>
  <c r="K10" i="55"/>
  <c r="C10" i="55"/>
  <c r="N10" i="55" s="1"/>
  <c r="O10" i="55" s="1"/>
  <c r="U9" i="55"/>
  <c r="T9" i="55"/>
  <c r="S9" i="55"/>
  <c r="R9" i="55"/>
  <c r="Q9" i="55"/>
  <c r="P9" i="55"/>
  <c r="K9" i="55"/>
  <c r="C9" i="55"/>
  <c r="N9" i="55" s="1"/>
  <c r="O9" i="55" s="1"/>
  <c r="U8" i="55"/>
  <c r="T8" i="55"/>
  <c r="S8" i="55"/>
  <c r="R8" i="55"/>
  <c r="Q8" i="55"/>
  <c r="P8" i="55"/>
  <c r="K8" i="55"/>
  <c r="C8" i="55"/>
  <c r="N8" i="55" s="1"/>
  <c r="O8" i="55" s="1"/>
  <c r="U7" i="55"/>
  <c r="T7" i="55"/>
  <c r="S7" i="55"/>
  <c r="R7" i="55"/>
  <c r="Q7" i="55"/>
  <c r="P7" i="55"/>
  <c r="K7" i="55"/>
  <c r="C7" i="55"/>
  <c r="N7" i="55" s="1"/>
  <c r="O7" i="55" s="1"/>
  <c r="U6" i="55"/>
  <c r="T6" i="55"/>
  <c r="S6" i="55"/>
  <c r="R6" i="55"/>
  <c r="Q6" i="55"/>
  <c r="P6" i="55"/>
  <c r="K6" i="55"/>
  <c r="C6" i="55"/>
  <c r="N6" i="55" s="1"/>
  <c r="O6" i="55" s="1"/>
  <c r="U5" i="55"/>
  <c r="T5" i="55"/>
  <c r="S5" i="55"/>
  <c r="R5" i="55"/>
  <c r="Q5" i="55"/>
  <c r="P5" i="55"/>
  <c r="K5" i="55"/>
  <c r="C5" i="55"/>
  <c r="F25" i="53"/>
  <c r="F24" i="53"/>
  <c r="F23" i="53"/>
  <c r="F22" i="53"/>
  <c r="F21" i="53"/>
  <c r="F20" i="53"/>
  <c r="F19" i="53"/>
  <c r="F18" i="53"/>
  <c r="F17" i="53"/>
  <c r="F16" i="53"/>
  <c r="F15" i="53"/>
  <c r="F14" i="53"/>
  <c r="F13" i="53"/>
  <c r="F12" i="53"/>
  <c r="F11" i="53"/>
  <c r="F10" i="53"/>
  <c r="F9" i="53"/>
  <c r="F8" i="53"/>
  <c r="F7" i="53"/>
  <c r="F6" i="53"/>
  <c r="F5" i="53"/>
  <c r="B6" i="56" s="1"/>
  <c r="B10" i="49"/>
  <c r="B9" i="49"/>
  <c r="B5" i="49"/>
  <c r="B4" i="49"/>
  <c r="L20" i="48"/>
  <c r="B8" i="49" s="1"/>
  <c r="U13" i="48"/>
  <c r="T13" i="48"/>
  <c r="S13" i="48"/>
  <c r="R13" i="48"/>
  <c r="Q13" i="48"/>
  <c r="P13" i="48"/>
  <c r="K13" i="48"/>
  <c r="C13" i="48"/>
  <c r="N13" i="48" s="1"/>
  <c r="O13" i="48" s="1"/>
  <c r="U12" i="48"/>
  <c r="T12" i="48"/>
  <c r="S12" i="48"/>
  <c r="R12" i="48"/>
  <c r="Q12" i="48"/>
  <c r="P12" i="48"/>
  <c r="K12" i="48"/>
  <c r="C12" i="48"/>
  <c r="N12" i="48" s="1"/>
  <c r="O12" i="48" s="1"/>
  <c r="U11" i="48"/>
  <c r="T11" i="48"/>
  <c r="S11" i="48"/>
  <c r="R11" i="48"/>
  <c r="Q11" i="48"/>
  <c r="P11" i="48"/>
  <c r="K11" i="48"/>
  <c r="C11" i="48"/>
  <c r="N11" i="48" s="1"/>
  <c r="O11" i="48" s="1"/>
  <c r="U10" i="48"/>
  <c r="T10" i="48"/>
  <c r="S10" i="48"/>
  <c r="R10" i="48"/>
  <c r="Q10" i="48"/>
  <c r="P10" i="48"/>
  <c r="K10" i="48"/>
  <c r="C10" i="48"/>
  <c r="N10" i="48" s="1"/>
  <c r="O10" i="48" s="1"/>
  <c r="U9" i="48"/>
  <c r="T9" i="48"/>
  <c r="S9" i="48"/>
  <c r="R9" i="48"/>
  <c r="Q9" i="48"/>
  <c r="P9" i="48"/>
  <c r="K9" i="48"/>
  <c r="C9" i="48"/>
  <c r="N9" i="48" s="1"/>
  <c r="O9" i="48" s="1"/>
  <c r="U8" i="48"/>
  <c r="T8" i="48"/>
  <c r="S8" i="48"/>
  <c r="R8" i="48"/>
  <c r="Q8" i="48"/>
  <c r="P8" i="48"/>
  <c r="K8" i="48"/>
  <c r="C8" i="48"/>
  <c r="N8" i="48" s="1"/>
  <c r="O8" i="48" s="1"/>
  <c r="U7" i="48"/>
  <c r="T7" i="48"/>
  <c r="S7" i="48"/>
  <c r="R7" i="48"/>
  <c r="Q7" i="48"/>
  <c r="P7" i="48"/>
  <c r="K7" i="48"/>
  <c r="C7" i="48"/>
  <c r="N7" i="48" s="1"/>
  <c r="O7" i="48" s="1"/>
  <c r="U6" i="48"/>
  <c r="T6" i="48"/>
  <c r="S6" i="48"/>
  <c r="R6" i="48"/>
  <c r="Q6" i="48"/>
  <c r="P6" i="48"/>
  <c r="K6" i="48"/>
  <c r="C6" i="48"/>
  <c r="N6" i="48" s="1"/>
  <c r="O6" i="48" s="1"/>
  <c r="U5" i="48"/>
  <c r="T5" i="48"/>
  <c r="S5" i="48"/>
  <c r="R5" i="48"/>
  <c r="Q5" i="48"/>
  <c r="P5" i="48"/>
  <c r="K5" i="48"/>
  <c r="C5" i="48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F9" i="46"/>
  <c r="F8" i="46"/>
  <c r="F7" i="46"/>
  <c r="F6" i="46"/>
  <c r="F5" i="46"/>
  <c r="B6" i="49" s="1"/>
  <c r="B10" i="42"/>
  <c r="B9" i="42"/>
  <c r="B5" i="42"/>
  <c r="B4" i="42"/>
  <c r="L20" i="41"/>
  <c r="B8" i="42" s="1"/>
  <c r="U13" i="41"/>
  <c r="T13" i="41"/>
  <c r="S13" i="41"/>
  <c r="R13" i="41"/>
  <c r="Q13" i="41"/>
  <c r="P13" i="41"/>
  <c r="K13" i="41"/>
  <c r="C13" i="41"/>
  <c r="N13" i="41" s="1"/>
  <c r="O13" i="41" s="1"/>
  <c r="U12" i="41"/>
  <c r="T12" i="41"/>
  <c r="S12" i="41"/>
  <c r="R12" i="41"/>
  <c r="Q12" i="41"/>
  <c r="P12" i="41"/>
  <c r="K12" i="41"/>
  <c r="C12" i="41"/>
  <c r="N12" i="41" s="1"/>
  <c r="O12" i="41" s="1"/>
  <c r="U11" i="41"/>
  <c r="T11" i="41"/>
  <c r="S11" i="41"/>
  <c r="R11" i="41"/>
  <c r="Q11" i="41"/>
  <c r="P11" i="41"/>
  <c r="K11" i="41"/>
  <c r="C11" i="41"/>
  <c r="N11" i="41" s="1"/>
  <c r="O11" i="41" s="1"/>
  <c r="U10" i="41"/>
  <c r="T10" i="41"/>
  <c r="S10" i="41"/>
  <c r="R10" i="41"/>
  <c r="Q10" i="41"/>
  <c r="P10" i="41"/>
  <c r="K10" i="41"/>
  <c r="C10" i="41"/>
  <c r="N10" i="41" s="1"/>
  <c r="O10" i="41" s="1"/>
  <c r="U9" i="41"/>
  <c r="T9" i="41"/>
  <c r="S9" i="41"/>
  <c r="R9" i="41"/>
  <c r="Q9" i="41"/>
  <c r="P9" i="41"/>
  <c r="K9" i="41"/>
  <c r="C9" i="41"/>
  <c r="N9" i="41" s="1"/>
  <c r="O9" i="41" s="1"/>
  <c r="U8" i="41"/>
  <c r="T8" i="41"/>
  <c r="S8" i="41"/>
  <c r="R8" i="41"/>
  <c r="Q8" i="41"/>
  <c r="P8" i="41"/>
  <c r="K8" i="41"/>
  <c r="C8" i="41"/>
  <c r="N8" i="41" s="1"/>
  <c r="O8" i="41" s="1"/>
  <c r="U7" i="41"/>
  <c r="T7" i="41"/>
  <c r="S7" i="41"/>
  <c r="R7" i="41"/>
  <c r="Q7" i="41"/>
  <c r="P7" i="41"/>
  <c r="K7" i="41"/>
  <c r="C7" i="41"/>
  <c r="N7" i="41" s="1"/>
  <c r="O7" i="41" s="1"/>
  <c r="U6" i="41"/>
  <c r="T6" i="41"/>
  <c r="S6" i="41"/>
  <c r="R6" i="41"/>
  <c r="Q6" i="41"/>
  <c r="P6" i="41"/>
  <c r="K6" i="41"/>
  <c r="C6" i="41"/>
  <c r="N6" i="41" s="1"/>
  <c r="O6" i="41" s="1"/>
  <c r="U5" i="41"/>
  <c r="T5" i="41"/>
  <c r="S5" i="41"/>
  <c r="R5" i="41"/>
  <c r="Q5" i="41"/>
  <c r="P5" i="41"/>
  <c r="K5" i="41"/>
  <c r="C5" i="41"/>
  <c r="F25" i="39"/>
  <c r="F24" i="39"/>
  <c r="F23" i="39"/>
  <c r="F22" i="39"/>
  <c r="F21" i="39"/>
  <c r="F20" i="39"/>
  <c r="F19" i="39"/>
  <c r="F18" i="39"/>
  <c r="F17" i="39"/>
  <c r="F16" i="39"/>
  <c r="F15" i="39"/>
  <c r="F14" i="39"/>
  <c r="F13" i="39"/>
  <c r="F12" i="39"/>
  <c r="F11" i="39"/>
  <c r="F10" i="39"/>
  <c r="F9" i="39"/>
  <c r="F8" i="39"/>
  <c r="F7" i="39"/>
  <c r="F6" i="39"/>
  <c r="F5" i="39"/>
  <c r="B6" i="42" s="1"/>
  <c r="B10" i="35"/>
  <c r="B9" i="35"/>
  <c r="B5" i="35"/>
  <c r="B4" i="35"/>
  <c r="L20" i="34"/>
  <c r="B8" i="35" s="1"/>
  <c r="U13" i="34"/>
  <c r="T13" i="34"/>
  <c r="S13" i="34"/>
  <c r="R13" i="34"/>
  <c r="Q13" i="34"/>
  <c r="P13" i="34"/>
  <c r="K13" i="34"/>
  <c r="C13" i="34"/>
  <c r="N13" i="34" s="1"/>
  <c r="O13" i="34" s="1"/>
  <c r="U12" i="34"/>
  <c r="T12" i="34"/>
  <c r="S12" i="34"/>
  <c r="R12" i="34"/>
  <c r="Q12" i="34"/>
  <c r="P12" i="34"/>
  <c r="K12" i="34"/>
  <c r="C12" i="34"/>
  <c r="N12" i="34" s="1"/>
  <c r="O12" i="34" s="1"/>
  <c r="U11" i="34"/>
  <c r="T11" i="34"/>
  <c r="S11" i="34"/>
  <c r="R11" i="34"/>
  <c r="Q11" i="34"/>
  <c r="P11" i="34"/>
  <c r="K11" i="34"/>
  <c r="C11" i="34"/>
  <c r="N11" i="34" s="1"/>
  <c r="O11" i="34" s="1"/>
  <c r="U10" i="34"/>
  <c r="T10" i="34"/>
  <c r="S10" i="34"/>
  <c r="R10" i="34"/>
  <c r="Q10" i="34"/>
  <c r="P10" i="34"/>
  <c r="K10" i="34"/>
  <c r="C10" i="34"/>
  <c r="N10" i="34" s="1"/>
  <c r="O10" i="34" s="1"/>
  <c r="U9" i="34"/>
  <c r="T9" i="34"/>
  <c r="S9" i="34"/>
  <c r="R9" i="34"/>
  <c r="Q9" i="34"/>
  <c r="P9" i="34"/>
  <c r="K9" i="34"/>
  <c r="C9" i="34"/>
  <c r="N9" i="34" s="1"/>
  <c r="O9" i="34" s="1"/>
  <c r="U8" i="34"/>
  <c r="T8" i="34"/>
  <c r="S8" i="34"/>
  <c r="R8" i="34"/>
  <c r="Q8" i="34"/>
  <c r="P8" i="34"/>
  <c r="K8" i="34"/>
  <c r="C8" i="34"/>
  <c r="N8" i="34" s="1"/>
  <c r="O8" i="34" s="1"/>
  <c r="U7" i="34"/>
  <c r="T7" i="34"/>
  <c r="S7" i="34"/>
  <c r="R7" i="34"/>
  <c r="Q7" i="34"/>
  <c r="P7" i="34"/>
  <c r="K7" i="34"/>
  <c r="C7" i="34"/>
  <c r="N7" i="34" s="1"/>
  <c r="O7" i="34" s="1"/>
  <c r="U6" i="34"/>
  <c r="T6" i="34"/>
  <c r="S6" i="34"/>
  <c r="R6" i="34"/>
  <c r="Q6" i="34"/>
  <c r="P6" i="34"/>
  <c r="K6" i="34"/>
  <c r="C6" i="34"/>
  <c r="N6" i="34" s="1"/>
  <c r="O6" i="34" s="1"/>
  <c r="U5" i="34"/>
  <c r="T5" i="34"/>
  <c r="S5" i="34"/>
  <c r="R5" i="34"/>
  <c r="Q5" i="34"/>
  <c r="P5" i="34"/>
  <c r="K5" i="34"/>
  <c r="C5" i="34"/>
  <c r="F25" i="32"/>
  <c r="F24" i="32"/>
  <c r="F23" i="32"/>
  <c r="F22" i="32"/>
  <c r="F21" i="32"/>
  <c r="F20" i="32"/>
  <c r="F19" i="32"/>
  <c r="F18" i="32"/>
  <c r="F17" i="32"/>
  <c r="F16" i="32"/>
  <c r="F15" i="32"/>
  <c r="F14" i="32"/>
  <c r="F13" i="32"/>
  <c r="F12" i="32"/>
  <c r="F11" i="32"/>
  <c r="F10" i="32"/>
  <c r="F9" i="32"/>
  <c r="F8" i="32"/>
  <c r="F7" i="32"/>
  <c r="F6" i="32"/>
  <c r="F5" i="32"/>
  <c r="B6" i="35" s="1"/>
  <c r="B10" i="28"/>
  <c r="B9" i="28"/>
  <c r="B5" i="28"/>
  <c r="B4" i="28"/>
  <c r="L20" i="27"/>
  <c r="B8" i="28" s="1"/>
  <c r="U13" i="27"/>
  <c r="T13" i="27"/>
  <c r="S13" i="27"/>
  <c r="R13" i="27"/>
  <c r="Q13" i="27"/>
  <c r="P13" i="27"/>
  <c r="K13" i="27"/>
  <c r="C13" i="27"/>
  <c r="N13" i="27" s="1"/>
  <c r="O13" i="27" s="1"/>
  <c r="U12" i="27"/>
  <c r="T12" i="27"/>
  <c r="S12" i="27"/>
  <c r="R12" i="27"/>
  <c r="Q12" i="27"/>
  <c r="P12" i="27"/>
  <c r="K12" i="27"/>
  <c r="C12" i="27"/>
  <c r="N12" i="27" s="1"/>
  <c r="O12" i="27" s="1"/>
  <c r="U11" i="27"/>
  <c r="T11" i="27"/>
  <c r="S11" i="27"/>
  <c r="R11" i="27"/>
  <c r="Q11" i="27"/>
  <c r="P11" i="27"/>
  <c r="K11" i="27"/>
  <c r="C11" i="27"/>
  <c r="N11" i="27" s="1"/>
  <c r="O11" i="27" s="1"/>
  <c r="U10" i="27"/>
  <c r="T10" i="27"/>
  <c r="S10" i="27"/>
  <c r="R10" i="27"/>
  <c r="Q10" i="27"/>
  <c r="P10" i="27"/>
  <c r="K10" i="27"/>
  <c r="C10" i="27"/>
  <c r="N10" i="27" s="1"/>
  <c r="O10" i="27" s="1"/>
  <c r="U9" i="27"/>
  <c r="T9" i="27"/>
  <c r="S9" i="27"/>
  <c r="R9" i="27"/>
  <c r="Q9" i="27"/>
  <c r="P9" i="27"/>
  <c r="K9" i="27"/>
  <c r="C9" i="27"/>
  <c r="N9" i="27" s="1"/>
  <c r="O9" i="27" s="1"/>
  <c r="U8" i="27"/>
  <c r="T8" i="27"/>
  <c r="S8" i="27"/>
  <c r="R8" i="27"/>
  <c r="Q8" i="27"/>
  <c r="P8" i="27"/>
  <c r="K8" i="27"/>
  <c r="C8" i="27"/>
  <c r="N8" i="27" s="1"/>
  <c r="O8" i="27" s="1"/>
  <c r="U7" i="27"/>
  <c r="T7" i="27"/>
  <c r="S7" i="27"/>
  <c r="R7" i="27"/>
  <c r="Q7" i="27"/>
  <c r="P7" i="27"/>
  <c r="K7" i="27"/>
  <c r="C7" i="27"/>
  <c r="N7" i="27" s="1"/>
  <c r="O7" i="27" s="1"/>
  <c r="U6" i="27"/>
  <c r="T6" i="27"/>
  <c r="S6" i="27"/>
  <c r="R6" i="27"/>
  <c r="Q6" i="27"/>
  <c r="P6" i="27"/>
  <c r="K6" i="27"/>
  <c r="C6" i="27"/>
  <c r="N6" i="27" s="1"/>
  <c r="O6" i="27" s="1"/>
  <c r="U5" i="27"/>
  <c r="T5" i="27"/>
  <c r="S5" i="27"/>
  <c r="R5" i="27"/>
  <c r="Q5" i="27"/>
  <c r="P5" i="27"/>
  <c r="K5" i="27"/>
  <c r="C5" i="27"/>
  <c r="F25" i="25"/>
  <c r="F24" i="25"/>
  <c r="F23" i="25"/>
  <c r="F22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F9" i="25"/>
  <c r="F8" i="25"/>
  <c r="F7" i="25"/>
  <c r="F6" i="25"/>
  <c r="F5" i="25"/>
  <c r="B6" i="28" s="1"/>
  <c r="B10" i="21"/>
  <c r="B9" i="21"/>
  <c r="B5" i="21"/>
  <c r="B4" i="21"/>
  <c r="L20" i="20"/>
  <c r="B8" i="21" s="1"/>
  <c r="U13" i="20"/>
  <c r="T13" i="20"/>
  <c r="S13" i="20"/>
  <c r="R13" i="20"/>
  <c r="Q13" i="20"/>
  <c r="P13" i="20"/>
  <c r="K13" i="20"/>
  <c r="C13" i="20"/>
  <c r="N13" i="20" s="1"/>
  <c r="O13" i="20" s="1"/>
  <c r="U12" i="20"/>
  <c r="T12" i="20"/>
  <c r="S12" i="20"/>
  <c r="R12" i="20"/>
  <c r="Q12" i="20"/>
  <c r="P12" i="20"/>
  <c r="K12" i="20"/>
  <c r="C12" i="20"/>
  <c r="N12" i="20" s="1"/>
  <c r="O12" i="20" s="1"/>
  <c r="U11" i="20"/>
  <c r="T11" i="20"/>
  <c r="S11" i="20"/>
  <c r="R11" i="20"/>
  <c r="Q11" i="20"/>
  <c r="P11" i="20"/>
  <c r="K11" i="20"/>
  <c r="C11" i="20"/>
  <c r="N11" i="20" s="1"/>
  <c r="O11" i="20" s="1"/>
  <c r="U10" i="20"/>
  <c r="T10" i="20"/>
  <c r="S10" i="20"/>
  <c r="R10" i="20"/>
  <c r="Q10" i="20"/>
  <c r="P10" i="20"/>
  <c r="K10" i="20"/>
  <c r="C10" i="20"/>
  <c r="N10" i="20" s="1"/>
  <c r="O10" i="20" s="1"/>
  <c r="U9" i="20"/>
  <c r="T9" i="20"/>
  <c r="S9" i="20"/>
  <c r="R9" i="20"/>
  <c r="Q9" i="20"/>
  <c r="P9" i="20"/>
  <c r="K9" i="20"/>
  <c r="C9" i="20"/>
  <c r="N9" i="20" s="1"/>
  <c r="O9" i="20" s="1"/>
  <c r="U8" i="20"/>
  <c r="T8" i="20"/>
  <c r="S8" i="20"/>
  <c r="R8" i="20"/>
  <c r="Q8" i="20"/>
  <c r="P8" i="20"/>
  <c r="K8" i="20"/>
  <c r="C8" i="20"/>
  <c r="N8" i="20" s="1"/>
  <c r="O8" i="20" s="1"/>
  <c r="U7" i="20"/>
  <c r="T7" i="20"/>
  <c r="S7" i="20"/>
  <c r="R7" i="20"/>
  <c r="Q7" i="20"/>
  <c r="P7" i="20"/>
  <c r="K7" i="20"/>
  <c r="C7" i="20"/>
  <c r="N7" i="20" s="1"/>
  <c r="O7" i="20" s="1"/>
  <c r="U6" i="20"/>
  <c r="T6" i="20"/>
  <c r="S6" i="20"/>
  <c r="R6" i="20"/>
  <c r="Q6" i="20"/>
  <c r="P6" i="20"/>
  <c r="K6" i="20"/>
  <c r="C6" i="20"/>
  <c r="N6" i="20" s="1"/>
  <c r="O6" i="20" s="1"/>
  <c r="U5" i="20"/>
  <c r="T5" i="20"/>
  <c r="S5" i="20"/>
  <c r="R5" i="20"/>
  <c r="Q5" i="20"/>
  <c r="P5" i="20"/>
  <c r="K5" i="20"/>
  <c r="C5" i="20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B6" i="21" s="1"/>
  <c r="B10" i="14"/>
  <c r="B9" i="14"/>
  <c r="B5" i="14"/>
  <c r="B4" i="14"/>
  <c r="L20" i="13"/>
  <c r="B8" i="14" s="1"/>
  <c r="U13" i="13"/>
  <c r="T13" i="13"/>
  <c r="S13" i="13"/>
  <c r="R13" i="13"/>
  <c r="Q13" i="13"/>
  <c r="P13" i="13"/>
  <c r="K13" i="13"/>
  <c r="C13" i="13"/>
  <c r="N13" i="13" s="1"/>
  <c r="O13" i="13" s="1"/>
  <c r="U12" i="13"/>
  <c r="T12" i="13"/>
  <c r="S12" i="13"/>
  <c r="R12" i="13"/>
  <c r="Q12" i="13"/>
  <c r="P12" i="13"/>
  <c r="K12" i="13"/>
  <c r="C12" i="13"/>
  <c r="N12" i="13" s="1"/>
  <c r="O12" i="13" s="1"/>
  <c r="U11" i="13"/>
  <c r="T11" i="13"/>
  <c r="S11" i="13"/>
  <c r="R11" i="13"/>
  <c r="Q11" i="13"/>
  <c r="P11" i="13"/>
  <c r="K11" i="13"/>
  <c r="C11" i="13"/>
  <c r="N11" i="13" s="1"/>
  <c r="O11" i="13" s="1"/>
  <c r="U10" i="13"/>
  <c r="T10" i="13"/>
  <c r="S10" i="13"/>
  <c r="R10" i="13"/>
  <c r="Q10" i="13"/>
  <c r="P10" i="13"/>
  <c r="K10" i="13"/>
  <c r="C10" i="13"/>
  <c r="N10" i="13" s="1"/>
  <c r="O10" i="13" s="1"/>
  <c r="U9" i="13"/>
  <c r="T9" i="13"/>
  <c r="S9" i="13"/>
  <c r="R9" i="13"/>
  <c r="Q9" i="13"/>
  <c r="P9" i="13"/>
  <c r="K9" i="13"/>
  <c r="C9" i="13"/>
  <c r="N9" i="13" s="1"/>
  <c r="O9" i="13" s="1"/>
  <c r="U8" i="13"/>
  <c r="T8" i="13"/>
  <c r="S8" i="13"/>
  <c r="R8" i="13"/>
  <c r="Q8" i="13"/>
  <c r="P8" i="13"/>
  <c r="K8" i="13"/>
  <c r="C8" i="13"/>
  <c r="N8" i="13" s="1"/>
  <c r="O8" i="13" s="1"/>
  <c r="U7" i="13"/>
  <c r="T7" i="13"/>
  <c r="S7" i="13"/>
  <c r="R7" i="13"/>
  <c r="Q7" i="13"/>
  <c r="P7" i="13"/>
  <c r="K7" i="13"/>
  <c r="C7" i="13"/>
  <c r="N7" i="13" s="1"/>
  <c r="O7" i="13" s="1"/>
  <c r="U6" i="13"/>
  <c r="T6" i="13"/>
  <c r="S6" i="13"/>
  <c r="R6" i="13"/>
  <c r="Q6" i="13"/>
  <c r="P6" i="13"/>
  <c r="K6" i="13"/>
  <c r="C6" i="13"/>
  <c r="N6" i="13" s="1"/>
  <c r="O6" i="13" s="1"/>
  <c r="U5" i="13"/>
  <c r="T5" i="13"/>
  <c r="S5" i="13"/>
  <c r="R5" i="13"/>
  <c r="Q5" i="13"/>
  <c r="P5" i="13"/>
  <c r="K5" i="13"/>
  <c r="C5" i="13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B6" i="14" s="1"/>
  <c r="B10" i="7"/>
  <c r="B9" i="7"/>
  <c r="B5" i="7"/>
  <c r="B4" i="7"/>
  <c r="L20" i="6"/>
  <c r="B8" i="7" s="1"/>
  <c r="U13" i="6"/>
  <c r="T13" i="6"/>
  <c r="S13" i="6"/>
  <c r="R13" i="6"/>
  <c r="Q13" i="6"/>
  <c r="P13" i="6"/>
  <c r="K13" i="6"/>
  <c r="C13" i="6"/>
  <c r="N13" i="6" s="1"/>
  <c r="O13" i="6" s="1"/>
  <c r="U12" i="6"/>
  <c r="T12" i="6"/>
  <c r="S12" i="6"/>
  <c r="R12" i="6"/>
  <c r="Q12" i="6"/>
  <c r="P12" i="6"/>
  <c r="K12" i="6"/>
  <c r="C12" i="6"/>
  <c r="N12" i="6" s="1"/>
  <c r="O12" i="6" s="1"/>
  <c r="U11" i="6"/>
  <c r="T11" i="6"/>
  <c r="S11" i="6"/>
  <c r="R11" i="6"/>
  <c r="Q11" i="6"/>
  <c r="P11" i="6"/>
  <c r="K11" i="6"/>
  <c r="C11" i="6"/>
  <c r="N11" i="6" s="1"/>
  <c r="O11" i="6" s="1"/>
  <c r="U10" i="6"/>
  <c r="T10" i="6"/>
  <c r="S10" i="6"/>
  <c r="R10" i="6"/>
  <c r="Q10" i="6"/>
  <c r="P10" i="6"/>
  <c r="K10" i="6"/>
  <c r="C10" i="6"/>
  <c r="N10" i="6" s="1"/>
  <c r="O10" i="6" s="1"/>
  <c r="U9" i="6"/>
  <c r="T9" i="6"/>
  <c r="S9" i="6"/>
  <c r="R9" i="6"/>
  <c r="Q9" i="6"/>
  <c r="P9" i="6"/>
  <c r="K9" i="6"/>
  <c r="C9" i="6"/>
  <c r="N9" i="6" s="1"/>
  <c r="O9" i="6" s="1"/>
  <c r="U8" i="6"/>
  <c r="T8" i="6"/>
  <c r="S8" i="6"/>
  <c r="R8" i="6"/>
  <c r="Q8" i="6"/>
  <c r="P8" i="6"/>
  <c r="K8" i="6"/>
  <c r="C8" i="6"/>
  <c r="N8" i="6" s="1"/>
  <c r="O8" i="6" s="1"/>
  <c r="U7" i="6"/>
  <c r="T7" i="6"/>
  <c r="S7" i="6"/>
  <c r="R7" i="6"/>
  <c r="Q7" i="6"/>
  <c r="P7" i="6"/>
  <c r="K7" i="6"/>
  <c r="C7" i="6"/>
  <c r="N7" i="6" s="1"/>
  <c r="O7" i="6" s="1"/>
  <c r="U6" i="6"/>
  <c r="T6" i="6"/>
  <c r="S6" i="6"/>
  <c r="R6" i="6"/>
  <c r="Q6" i="6"/>
  <c r="P6" i="6"/>
  <c r="K6" i="6"/>
  <c r="C6" i="6"/>
  <c r="N6" i="6" s="1"/>
  <c r="O6" i="6" s="1"/>
  <c r="U5" i="6"/>
  <c r="T5" i="6"/>
  <c r="S5" i="6"/>
  <c r="R5" i="6"/>
  <c r="Q5" i="6"/>
  <c r="P5" i="6"/>
  <c r="K5" i="6"/>
  <c r="C5" i="6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B6" i="7" s="1"/>
  <c r="B7" i="7" l="1"/>
  <c r="N5" i="6"/>
  <c r="O5" i="6" s="1"/>
  <c r="B11" i="7"/>
  <c r="B7" i="14"/>
  <c r="N5" i="13"/>
  <c r="O5" i="13" s="1"/>
  <c r="B11" i="14"/>
  <c r="B7" i="21"/>
  <c r="N5" i="20"/>
  <c r="O5" i="20" s="1"/>
  <c r="B11" i="21"/>
  <c r="B7" i="28"/>
  <c r="N5" i="27"/>
  <c r="O5" i="27" s="1"/>
  <c r="B11" i="28"/>
  <c r="B7" i="35"/>
  <c r="N5" i="34"/>
  <c r="O5" i="34" s="1"/>
  <c r="B11" i="35"/>
  <c r="B7" i="42"/>
  <c r="N5" i="41"/>
  <c r="O5" i="41" s="1"/>
  <c r="B11" i="42"/>
  <c r="B7" i="49"/>
  <c r="N5" i="48"/>
  <c r="O5" i="48" s="1"/>
  <c r="B11" i="49"/>
  <c r="B7" i="56"/>
  <c r="N5" i="55"/>
  <c r="O5" i="55" s="1"/>
  <c r="B11" i="56"/>
  <c r="B7" i="63"/>
  <c r="N5" i="62"/>
  <c r="O5" i="62" s="1"/>
  <c r="B11" i="63"/>
  <c r="B7" i="70"/>
  <c r="N5" i="69"/>
  <c r="O5" i="69" s="1"/>
  <c r="B11" i="70"/>
</calcChain>
</file>

<file path=xl/sharedStrings.xml><?xml version="1.0" encoding="utf-8"?>
<sst xmlns="http://schemas.openxmlformats.org/spreadsheetml/2006/main" count="1934" uniqueCount="339">
  <si>
    <t>Усі варіанти в одному файлі</t>
  </si>
  <si>
    <t>Кожен варіант має власні аркуші з префіксом «В01», «В02» тощо й свій колір вкладок. Натисніть на посилання, щоб перейти до варіанта.</t>
  </si>
  <si>
    <t>Варіант</t>
  </si>
  <si>
    <t>Перехід</t>
  </si>
  <si>
    <t>Варіант 01</t>
  </si>
  <si>
    <t>Відкрити аркуші варіанта 01</t>
  </si>
  <si>
    <t>Варіант 02</t>
  </si>
  <si>
    <t>Відкрити аркуші варіанта 02</t>
  </si>
  <si>
    <t>Варіант 03</t>
  </si>
  <si>
    <t>Відкрити аркуші варіанта 03</t>
  </si>
  <si>
    <t>Варіант 04</t>
  </si>
  <si>
    <t>Відкрити аркуші варіанта 04</t>
  </si>
  <si>
    <t>Варіант 05</t>
  </si>
  <si>
    <t>Відкрити аркуші варіанта 05</t>
  </si>
  <si>
    <t>Варіант 06</t>
  </si>
  <si>
    <t>Відкрити аркуші варіанта 06</t>
  </si>
  <si>
    <t>Варіант 07</t>
  </si>
  <si>
    <t>Відкрити аркуші варіанта 07</t>
  </si>
  <si>
    <t>Варіант 08</t>
  </si>
  <si>
    <t>Відкрити аркуші варіанта 08</t>
  </si>
  <si>
    <t>Варіант 09</t>
  </si>
  <si>
    <t>Відкрити аркуші варіанта 09</t>
  </si>
  <si>
    <t>Варіант 10</t>
  </si>
  <si>
    <t>Відкрити аркуші варіанта 10</t>
  </si>
  <si>
    <t>ПР 3. Проєкт мережі відділення: зони, VLAN, адреси. Варіант 01</t>
  </si>
  <si>
    <t>Працюйте в жовтих комірках. Сірі комірки рахуються самі (захищені). Схему зон малюйте в PowerPoint-файлі варіанта.</t>
  </si>
  <si>
    <t>Порядок роботи</t>
  </si>
  <si>
    <t>1. Зони (питання 1)</t>
  </si>
  <si>
    <t>На аркуші «Пристрої» для кожної групи пристроїв оберіть зону. Колонка «Перевірка» підкаже, якщо тип пристрою не відповідає зоні. Для пристроїв «потребує рішення» вирішуйте самі й поясніть вибір на аркуші «Обґрунтування».</t>
  </si>
  <si>
    <t>2. Підмережі (питання 2)</t>
  </si>
  <si>
    <t>На аркуші «Зони й адреси» для кожної зони порахуйте, скільки адрес потрібно з запасом на зростання, оберіть префікс (від /24 до /30) і VLAN. Рахуйте на папері або в калькуляторі: файл лише перевіряє результат.</t>
  </si>
  <si>
    <t>3. Адресна таблиця (питання 3)</t>
  </si>
  <si>
    <t>Запишіть адресу мережі й шлюз кожної зони, native VLAN. Колонка «Перевірка» має показувати «ОК» для всіх зон.</t>
  </si>
  <si>
    <t>4. Чернетка колеги</t>
  </si>
  <si>
    <t>На аркуші «Чернетка колеги» знайдіть три помилки й запишіть у журнал. До свого проєкту їх не переносьте.</t>
  </si>
  <si>
    <t>5. Нова обставина</t>
  </si>
  <si>
    <t>Коли завершите кроки 1–3, відкрийте окремий файл «Нова обставина» (не раніше). Оновіть таблицю й схему на другому слайді PowerPoint.</t>
  </si>
  <si>
    <t>6. Обґрунтування і здача</t>
  </si>
  <si>
    <t>Заповніть аркуш «Обґрунтування», перевірте аркуш «Підсумок» і здайте два файли (Excel і PowerPoint).</t>
  </si>
  <si>
    <t>Формула запасу</t>
  </si>
  <si>
    <t>Потрібно адрес = пристроїв зараз × (1 + зростання за рік) + 1 адреса під шлюз, результат округлюється вгору.</t>
  </si>
  <si>
    <t>Місткість підмережі</t>
  </si>
  <si>
    <t>У підмережі /n корисних адрес 2^(32−n) − 2 (адреса мережі й адреса розсилки не видаються пристроям).</t>
  </si>
  <si>
    <t>Правило адрес</t>
  </si>
  <si>
    <t>Усе відділення використовує блок 10.A.0.0/16 (ваше A на аркуші «Картка»). Кожна зона має адресу вигляду 10.A.&lt;VLAN&gt;.x: третій октет дорівнює номеру VLAN.</t>
  </si>
  <si>
    <t>Правило VLAN</t>
  </si>
  <si>
    <t>Номер від 2 до 254; не 1; між номерами сусідніх зон лишайте проміжок не менше 5, щоб додавати зони без перенумерації. Native VLAN теж окремий номер, не збігається з VLAN зон.</t>
  </si>
  <si>
    <t>Шлюз</t>
  </si>
  <si>
    <t>Шлюз беріть за правилом варіанта (перша або остання корисна адреса підмережі).</t>
  </si>
  <si>
    <t>Картка варіанта 01</t>
  </si>
  <si>
    <t>Студент (прізвище)</t>
  </si>
  <si>
    <t>Блок адрес відділення</t>
  </si>
  <si>
    <t>10.162.0.0/16</t>
  </si>
  <si>
    <t>Значення A (другий октет)</t>
  </si>
  <si>
    <t>Правило шлюзу</t>
  </si>
  <si>
    <t>перша адреса підмережі</t>
  </si>
  <si>
    <t>Особливі пристрої (потребують вашого рішення)</t>
  </si>
  <si>
    <t>Мережевий принтер, спільний для кас і менеджерів (1 шт.); Інформаційні екрани й електронна черга в залі (3 шт.)</t>
  </si>
  <si>
    <t>Зростання за рік, %</t>
  </si>
  <si>
    <t>Каси 20 · Менеджери 20 · Термінали АБС 50 · Банкомати й POS 25 · Інтернет речей 100 · Гостьова Wi-Fi 50 · Керування обладнанням 20</t>
  </si>
  <si>
    <t>Легенда відділення</t>
  </si>
  <si>
    <t>12 співробітників; два банкомати (один усередині, один на вулиці); POS-термінали; камери, електронні замки, датчики серверної; гостьова Wi-Fi; зв'язок з головним офісом через Інтернет. Усе описано в групах пристроїв на аркуші «Пристрої».</t>
  </si>
  <si>
    <t>Пристрої відділення</t>
  </si>
  <si>
    <t>Для кожної групи оберіть зону. Нижні п'ять рядків (21–25) призначені для нової обставини.</t>
  </si>
  <si>
    <t>Типи пристроїв і зони</t>
  </si>
  <si>
    <t>№</t>
  </si>
  <si>
    <t>Пристрій</t>
  </si>
  <si>
    <t>Кількість</t>
  </si>
  <si>
    <t>Тип</t>
  </si>
  <si>
    <t>Зона (оберіть)</t>
  </si>
  <si>
    <t>Перевірка</t>
  </si>
  <si>
    <t>Зона</t>
  </si>
  <si>
    <t>Робочі місця кас</t>
  </si>
  <si>
    <t>каса</t>
  </si>
  <si>
    <t>KASA</t>
  </si>
  <si>
    <t>Принтери й сканери кас</t>
  </si>
  <si>
    <t>менеджер</t>
  </si>
  <si>
    <t>MANAGERS</t>
  </si>
  <si>
    <t>Робочі місця менеджерів і керівника</t>
  </si>
  <si>
    <t>АБС</t>
  </si>
  <si>
    <t>ABS</t>
  </si>
  <si>
    <t>Термінали АБС (операціоніст)</t>
  </si>
  <si>
    <t>платіжний пристрій</t>
  </si>
  <si>
    <t>ATM_POS</t>
  </si>
  <si>
    <t>Банкомати (всередині й на вулиці)</t>
  </si>
  <si>
    <t>без користувача</t>
  </si>
  <si>
    <t>IOT</t>
  </si>
  <si>
    <t>POS-термінали</t>
  </si>
  <si>
    <t>клієнтські пристрої</t>
  </si>
  <si>
    <t>GUEST</t>
  </si>
  <si>
    <t>Камери відеоспостереження</t>
  </si>
  <si>
    <t>мережеве обладнання</t>
  </si>
  <si>
    <t>MGMT</t>
  </si>
  <si>
    <t>Контролери електронних замків</t>
  </si>
  <si>
    <t>«потребує рішення»: зону обираєте самі</t>
  </si>
  <si>
    <t>Датчики температури й диму в серверній</t>
  </si>
  <si>
    <t>Пристрої гостей Wi-Fi (одночасно)</t>
  </si>
  <si>
    <t>Комутатори</t>
  </si>
  <si>
    <t>Точки доступу Wi-Fi</t>
  </si>
  <si>
    <t>Маршрутизатор і міжмережевий екран</t>
  </si>
  <si>
    <t>Станція адміністратора</t>
  </si>
  <si>
    <t>Мережевий принтер, спільний для кас і менеджерів</t>
  </si>
  <si>
    <t>потребує рішення</t>
  </si>
  <si>
    <t>Інформаційні екрани й електронна черга в залі</t>
  </si>
  <si>
    <t>Чернетка адресної таблиці від колеги</t>
  </si>
  <si>
    <t>У ній три помилки. Знайдіть їх, запишіть у журнал і не переносьте у свій проєкт. Кількість адрес колега порахував правильно.</t>
  </si>
  <si>
    <t>Потрібно адрес</t>
  </si>
  <si>
    <t>VLAN</t>
  </si>
  <si>
    <t>Мережа</t>
  </si>
  <si>
    <t>Префікс</t>
  </si>
  <si>
    <t>Каси</t>
  </si>
  <si>
    <t>10.162.20.0</t>
  </si>
  <si>
    <t>/28</t>
  </si>
  <si>
    <t>10.162.20.1</t>
  </si>
  <si>
    <t>Менеджери</t>
  </si>
  <si>
    <t>10.162.30.0</t>
  </si>
  <si>
    <t>/29</t>
  </si>
  <si>
    <t>10.162.30.1</t>
  </si>
  <si>
    <t>Термінали АБС</t>
  </si>
  <si>
    <t>10.162.40.0</t>
  </si>
  <si>
    <t>/30</t>
  </si>
  <si>
    <t>10.162.40.1</t>
  </si>
  <si>
    <t>Банкомати й POS</t>
  </si>
  <si>
    <t>10.162.50.0</t>
  </si>
  <si>
    <t>10.162.50.1</t>
  </si>
  <si>
    <t>Інтернет речей</t>
  </si>
  <si>
    <t>10.162.60.0</t>
  </si>
  <si>
    <t>/26</t>
  </si>
  <si>
    <t>10.162.60.63</t>
  </si>
  <si>
    <t>Гостьова Wi-Fi</t>
  </si>
  <si>
    <t>10.162.70.0</t>
  </si>
  <si>
    <t>10.162.70.1</t>
  </si>
  <si>
    <t>Керування обладнанням</t>
  </si>
  <si>
    <t>Журнал виправлень</t>
  </si>
  <si>
    <t>Рядок</t>
  </si>
  <si>
    <t>Тип помилки</t>
  </si>
  <si>
    <t>Що не так і як виправити</t>
  </si>
  <si>
    <t>Зони, VLAN і адресна таблиця</t>
  </si>
  <si>
    <t>Рядки NEW1 і NEW2 потрібні лише для нової обставини. Колонка «Перевірка» підказує, що виправити.</t>
  </si>
  <si>
    <t>Код зони</t>
  </si>
  <si>
    <t>Назва зони</t>
  </si>
  <si>
    <t>Пристроїв зараз</t>
  </si>
  <si>
    <t>Потрібно адрес (ваш розрахунок)</t>
  </si>
  <si>
    <t>Назва VLAN</t>
  </si>
  <si>
    <t>Префікс (число)</t>
  </si>
  <si>
    <t>Корисних адрес</t>
  </si>
  <si>
    <t>NEW1</t>
  </si>
  <si>
    <t>NEW2</t>
  </si>
  <si>
    <t>Обмеження головного офісу (заповніть лише якщо воно є в «Новій обставині»)</t>
  </si>
  <si>
    <t>Зарезервовані VLAN: від</t>
  </si>
  <si>
    <t>Зарезервовані VLAN: до</t>
  </si>
  <si>
    <t>Native VLAN (власний номер)</t>
  </si>
  <si>
    <t>Підсумок і самоперевірка</t>
  </si>
  <si>
    <t>Усе має бути нульовим перед здачею. Файл показує кількість, а не місце помилки: шукайте самі.</t>
  </si>
  <si>
    <t>Усього пристроїв</t>
  </si>
  <si>
    <t>Груп пристроїв без зони</t>
  </si>
  <si>
    <t>Груп, де тип пристрою не відповідає зоні</t>
  </si>
  <si>
    <t>Зон із помилкою в адресній таблиці</t>
  </si>
  <si>
    <t>Помилка native VLAN (1 — є)</t>
  </si>
  <si>
    <t>Особливих пристроїв без пояснення вибору</t>
  </si>
  <si>
    <t>Знайдено помилок у чернетці колеги (з 3)</t>
  </si>
  <si>
    <t>Висновок</t>
  </si>
  <si>
    <t>Обґрунтування</t>
  </si>
  <si>
    <t>Своїми словами. Для особливих пристроїв: яку зону обрали і що було б, якби пристрій поклали в іншу.</t>
  </si>
  <si>
    <t>Пристрій, що потребував рішення</t>
  </si>
  <si>
    <t>Чому саме так (2–3 речення)</t>
  </si>
  <si>
    <t>Як ви нумерували VLAN і чому схема лишиться зрозумілою через рік?</t>
  </si>
  <si>
    <t>Нова обставина: що змінилось (було → стало) і чому решту зон ви не чіпали?</t>
  </si>
  <si>
    <t>Що ви знайшли під час самоперевірки й виправили до здачі?</t>
  </si>
  <si>
    <t>ПР 3. Проєкт мережі відділення: зони, VLAN, адреси. Варіант 02</t>
  </si>
  <si>
    <t>Картка варіанта 02</t>
  </si>
  <si>
    <t>10.178.0.0/16</t>
  </si>
  <si>
    <t>остання корисна адреса підмережі (перед адресою розсилки)</t>
  </si>
  <si>
    <t>Ноутбуки підрядників, що налаштовують обладнання (2 шт.); Термінал самообслуговування в залі (приймає картки) (1 шт.)</t>
  </si>
  <si>
    <t>Каси 10 · Менеджери 20 · Термінали АБС 30 · Банкомати й POS 30 · Інтернет речей 50 · Гостьова Wi-Fi 50 · Керування обладнанням 25</t>
  </si>
  <si>
    <t>Ноутбуки підрядників, що налаштовують обладнання</t>
  </si>
  <si>
    <t>Термінал самообслуговування в залі (приймає картки)</t>
  </si>
  <si>
    <t>10.178.120.0</t>
  </si>
  <si>
    <t>10.178.120.6</t>
  </si>
  <si>
    <t>10.178.110.0</t>
  </si>
  <si>
    <t>10.178.110.14</t>
  </si>
  <si>
    <t>10.178.1.0</t>
  </si>
  <si>
    <t>10.178.1.14</t>
  </si>
  <si>
    <t>10.178.140.0</t>
  </si>
  <si>
    <t>/27</t>
  </si>
  <si>
    <t>10.178.140.30</t>
  </si>
  <si>
    <t>10.178.150.64</t>
  </si>
  <si>
    <t>/25</t>
  </si>
  <si>
    <t>10.178.150.65</t>
  </si>
  <si>
    <t>10.178.160.0</t>
  </si>
  <si>
    <t>10.178.160.14</t>
  </si>
  <si>
    <t>ПР 3. Проєкт мережі відділення: зони, VLAN, адреси. Варіант 03</t>
  </si>
  <si>
    <t>Картка варіанта 03</t>
  </si>
  <si>
    <t>10.45.0.0/16</t>
  </si>
  <si>
    <t>IP-телефони співробітників (8 шт.); Мережевий сейф з електронним замком і сигналізацією (1 шт.)</t>
  </si>
  <si>
    <t>Каси 20 · Менеджери 20 · Термінали АБС 25 · Банкомати й POS 20 · Інтернет речей 30 · Гостьова Wi-Fi 40 · Керування обладнанням 20</t>
  </si>
  <si>
    <t>IP-телефони співробітників</t>
  </si>
  <si>
    <t>Мережевий сейф з електронним замком і сигналізацією</t>
  </si>
  <si>
    <t>10.45.30.0</t>
  </si>
  <si>
    <t>10.45.30.1</t>
  </si>
  <si>
    <t>10.45.40.0</t>
  </si>
  <si>
    <t>10.45.40.1</t>
  </si>
  <si>
    <t>10.45.50.0</t>
  </si>
  <si>
    <t>10.45.50.1</t>
  </si>
  <si>
    <t>10.45.60.0</t>
  </si>
  <si>
    <t>10.45.60.1</t>
  </si>
  <si>
    <t>10.45.70.0</t>
  </si>
  <si>
    <t>10.45.70.63</t>
  </si>
  <si>
    <t>10.45.80.0</t>
  </si>
  <si>
    <t>10.45.80.1</t>
  </si>
  <si>
    <t>ПР 3. Проєкт мережі відділення: зони, VLAN, адреси. Варіант 04</t>
  </si>
  <si>
    <t>Картка варіанта 04</t>
  </si>
  <si>
    <t>10.197.0.0/16</t>
  </si>
  <si>
    <t>Планшети менеджерів для консультацій у залі (3 шт.); ІБП із мережевою карткою в серверній (2 шт.)</t>
  </si>
  <si>
    <t>Каси 30 · Менеджери 20 · Термінали АБС 50 · Банкомати й POS 40 · Інтернет речей 100 · Гостьова Wi-Fi 100 · Керування обладнанням 50</t>
  </si>
  <si>
    <t>Планшети менеджерів для консультацій у залі</t>
  </si>
  <si>
    <t>ІБП із мережевою карткою в серверній</t>
  </si>
  <si>
    <t>10.197.130.0</t>
  </si>
  <si>
    <t>10.197.130.6</t>
  </si>
  <si>
    <t>10.197.120.0</t>
  </si>
  <si>
    <t>10.197.120.14</t>
  </si>
  <si>
    <t>10.197.1.0</t>
  </si>
  <si>
    <t>10.197.1.6</t>
  </si>
  <si>
    <t>10.197.140.0</t>
  </si>
  <si>
    <t>10.197.140.14</t>
  </si>
  <si>
    <t>10.197.150.0</t>
  </si>
  <si>
    <t>10.197.150.30</t>
  </si>
  <si>
    <t>10.197.160.32</t>
  </si>
  <si>
    <t>10.197.160.33</t>
  </si>
  <si>
    <t>10.197.170.0</t>
  </si>
  <si>
    <t>10.197.170.14</t>
  </si>
  <si>
    <t>ПР 3. Проєкт мережі відділення: зони, VLAN, адреси. Варіант 05</t>
  </si>
  <si>
    <t>Картка варіанта 05</t>
  </si>
  <si>
    <t>10.83.0.0/16</t>
  </si>
  <si>
    <t>Розумний телевізор у залі очікування (1 шт.); Принтер для видачі карток клієнтам (1 шт.)</t>
  </si>
  <si>
    <t>Каси 25 · Менеджери 25 · Термінали АБС 30 · Банкомати й POS 25 · Інтернет речей 50 · Гостьова Wi-Fi 50 · Керування обладнанням 20</t>
  </si>
  <si>
    <t>Розумний телевізор у залі очікування</t>
  </si>
  <si>
    <t>Принтер для видачі карток клієнтам</t>
  </si>
  <si>
    <t>10.83.40.0</t>
  </si>
  <si>
    <t>10.83.40.1</t>
  </si>
  <si>
    <t>10.83.50.0</t>
  </si>
  <si>
    <t>10.83.50.1</t>
  </si>
  <si>
    <t>10.83.60.0</t>
  </si>
  <si>
    <t>10.83.60.1</t>
  </si>
  <si>
    <t>10.83.70.0</t>
  </si>
  <si>
    <t>10.83.70.15</t>
  </si>
  <si>
    <t>10.83.80.0</t>
  </si>
  <si>
    <t>10.83.80.1</t>
  </si>
  <si>
    <t>10.83.90.0</t>
  </si>
  <si>
    <t>10.83.90.1</t>
  </si>
  <si>
    <t>ПР 3. Проєкт мережі відділення: зони, VLAN, адреси. Варіант 06</t>
  </si>
  <si>
    <t>Картка варіанта 06</t>
  </si>
  <si>
    <t>10.124.0.0/16</t>
  </si>
  <si>
    <t>Мережевий принтер, спільний для кас і менеджерів (1 шт.); Термінал самообслуговування в залі (приймає картки) (1 шт.)</t>
  </si>
  <si>
    <t>Каси 10 · Менеджери 30 · Термінали АБС 25 · Банкомати й POS 30 · Інтернет речей 40 · Гостьова Wi-Fi 50 · Керування обладнанням 30</t>
  </si>
  <si>
    <t>10.124.40.0</t>
  </si>
  <si>
    <t>10.124.40.6</t>
  </si>
  <si>
    <t>10.124.30.0</t>
  </si>
  <si>
    <t>10.124.30.14</t>
  </si>
  <si>
    <t>10.124.1.0</t>
  </si>
  <si>
    <t>10.124.1.6</t>
  </si>
  <si>
    <t>10.124.50.0</t>
  </si>
  <si>
    <t>10.124.50.14</t>
  </si>
  <si>
    <t>10.124.60.16</t>
  </si>
  <si>
    <t>10.124.60.17</t>
  </si>
  <si>
    <t>10.124.70.0</t>
  </si>
  <si>
    <t>10.124.70.126</t>
  </si>
  <si>
    <t>10.124.80.0</t>
  </si>
  <si>
    <t>10.124.80.14</t>
  </si>
  <si>
    <t>ПР 3. Проєкт мережі відділення: зони, VLAN, адреси. Варіант 07</t>
  </si>
  <si>
    <t>Картка варіанта 07</t>
  </si>
  <si>
    <t>10.51.0.0/16</t>
  </si>
  <si>
    <t>Інформаційні екрани й електронна черга в залі (3 шт.); IP-телефони співробітників (8 шт.)</t>
  </si>
  <si>
    <t>Каси 20 · Менеджери 50 · Термінали АБС 40 · Банкомати й POS 25 · Інтернет речей 100 · Гостьова Wi-Fi 40 · Керування обладнанням 25</t>
  </si>
  <si>
    <t>10.51.50.0</t>
  </si>
  <si>
    <t>10.51.50.1</t>
  </si>
  <si>
    <t>10.51.60.0</t>
  </si>
  <si>
    <t>10.51.60.1</t>
  </si>
  <si>
    <t>10.51.70.0</t>
  </si>
  <si>
    <t>10.51.70.1</t>
  </si>
  <si>
    <t>10.51.80.0</t>
  </si>
  <si>
    <t>10.51.80.15</t>
  </si>
  <si>
    <t>10.51.90.0</t>
  </si>
  <si>
    <t>10.51.90.1</t>
  </si>
  <si>
    <t>10.51.110.0</t>
  </si>
  <si>
    <t>10.51.110.1</t>
  </si>
  <si>
    <t>ПР 3. Проєкт мережі відділення: зони, VLAN, адреси. Варіант 08</t>
  </si>
  <si>
    <t>Картка варіанта 08</t>
  </si>
  <si>
    <t>10.209.0.0/16</t>
  </si>
  <si>
    <t>Мережевий сейф з електронним замком і сигналізацією (1 шт.); Ноутбуки підрядників, що налаштовують обладнання (2 шт.)</t>
  </si>
  <si>
    <t>Каси 15 · Менеджери 20 · Термінали АБС 30 · Банкомати й POS 20 · Інтернет речей 50 · Гостьова Wi-Fi 25 · Керування обладнанням 20</t>
  </si>
  <si>
    <t>10.209.130.0</t>
  </si>
  <si>
    <t>10.209.130.14</t>
  </si>
  <si>
    <t>10.209.140.0</t>
  </si>
  <si>
    <t>10.209.140.14</t>
  </si>
  <si>
    <t>10.209.1.0</t>
  </si>
  <si>
    <t>10.209.1.6</t>
  </si>
  <si>
    <t>10.209.160.0</t>
  </si>
  <si>
    <t>10.209.160.14</t>
  </si>
  <si>
    <t>10.209.170.32</t>
  </si>
  <si>
    <t>10.209.170.33</t>
  </si>
  <si>
    <t>10.209.180.0</t>
  </si>
  <si>
    <t>10.209.180.126</t>
  </si>
  <si>
    <t>ПР 3. Проєкт мережі відділення: зони, VLAN, адреси. Варіант 09</t>
  </si>
  <si>
    <t>Картка варіанта 09</t>
  </si>
  <si>
    <t>10.146.0.0/16</t>
  </si>
  <si>
    <t>ІБП із мережевою карткою в серверній (2 шт.); Планшети менеджерів для консультацій у залі (3 шт.)</t>
  </si>
  <si>
    <t>Каси 20 · Менеджери 25 · Термінали АБС 50 · Банкомати й POS 50 · Інтернет речей 50 · Гостьова Wi-Fi 100 · Керування обладнанням 40</t>
  </si>
  <si>
    <t>10.146.60.0</t>
  </si>
  <si>
    <t>10.146.60.1</t>
  </si>
  <si>
    <t>10.146.70.0</t>
  </si>
  <si>
    <t>10.146.70.1</t>
  </si>
  <si>
    <t>10.146.80.0</t>
  </si>
  <si>
    <t>10.146.80.1</t>
  </si>
  <si>
    <t>10.146.90.0</t>
  </si>
  <si>
    <t>10.146.90.15</t>
  </si>
  <si>
    <t>10.146.100.0</t>
  </si>
  <si>
    <t>10.146.100.1</t>
  </si>
  <si>
    <t>10.146.120.0</t>
  </si>
  <si>
    <t>10.146.120.1</t>
  </si>
  <si>
    <t>ПР 3. Проєкт мережі відділення: зони, VLAN, адреси. Варіант 10</t>
  </si>
  <si>
    <t>Картка варіанта 10</t>
  </si>
  <si>
    <t>10.33.0.0/16</t>
  </si>
  <si>
    <t>Принтер для видачі карток клієнтам (1 шт.); Розумний телевізор у залі очікування (1 шт.)</t>
  </si>
  <si>
    <t>Каси 25 · Менеджери 20 · Термінали АБС 25 · Банкомати й POS 30 · Інтернет речей 40 · Гостьова Wi-Fi 60 · Керування обладнанням 25</t>
  </si>
  <si>
    <t>10.33.70.0</t>
  </si>
  <si>
    <t>10.33.70.14</t>
  </si>
  <si>
    <t>10.33.1.0</t>
  </si>
  <si>
    <t>10.33.1.14</t>
  </si>
  <si>
    <t>10.33.90.0</t>
  </si>
  <si>
    <t>10.33.90.6</t>
  </si>
  <si>
    <t>10.33.100.0</t>
  </si>
  <si>
    <t>10.33.100.14</t>
  </si>
  <si>
    <t>10.33.110.32</t>
  </si>
  <si>
    <t>10.33.110.33</t>
  </si>
  <si>
    <t>10.33.120.0</t>
  </si>
  <si>
    <t>10.33.120.126</t>
  </si>
  <si>
    <t>10.33.80.0</t>
  </si>
  <si>
    <t>10.33.80.14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</si>
</sst>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i/>
      <sz val="10"/>
      <color rgb="FF595959"/>
      <name val="Calibri"/>
    </font>
    <font>
      <b/>
      <sz val="11"/>
      <color rgb="FF1F3864"/>
      <name val="Calibri"/>
    </font>
    <font>
      <sz val="10"/>
      <name val="Calibri"/>
    </font>
    <font>
      <b/>
      <sz val="10"/>
      <name val="Calibri"/>
    </font>
    <font>
      <b/>
      <sz val="12"/>
      <color rgb="FF1F3864"/>
      <name val="Calibri"/>
    </font>
    <font>
      <b/>
      <sz val="10"/>
      <color rgb="FF1F3864"/>
      <name val="Calibri"/>
    </font>
    <font>
      <b/>
      <sz val="10.5"/>
      <color rgb="FFFFFFFF"/>
      <name val="Calibri"/>
    </font>
    <font>
      <b/>
      <sz val="10"/>
      <color rgb="FFFFFFFF"/>
      <name val="Calibri"/>
    </font>
    <font>
      <i/>
      <sz val="9"/>
      <name val="Calibri"/>
    </font>
    <font>
      <b/>
      <sz val="11"/>
      <color rgb="FFFFFFFF"/>
      <name val="Calibri"/>
    </font>
    <font>
      <u/>
      <sz val="11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1" fillId="3" borderId="0" xfId="0" applyFont="1" applyFill="1"/>
    <xf numFmtId="0" fontId="1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 applyProtection="1">
      <alignment vertical="top" wrapText="1"/>
      <protection locked="0"/>
    </xf>
    <xf numFmtId="0" fontId="4" fillId="0" borderId="1" xfId="0" applyFont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0" fontId="4" fillId="4" borderId="1" xfId="0" applyFont="1" applyFill="1" applyBorder="1" applyAlignment="1">
      <alignment vertical="top" wrapText="1"/>
    </xf>
    <xf numFmtId="0" fontId="10" fillId="0" borderId="0" xfId="0" applyFont="1"/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 applyProtection="1">
      <alignment vertical="top" wrapText="1"/>
      <protection locked="0"/>
    </xf>
    <xf numFmtId="0" fontId="8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2" xfId="0" applyBorder="1" applyAlignment="1" applyProtection="1">
      <protection locked="0"/>
    </xf>
    <xf numFmtId="0" fontId="0" fillId="0" borderId="3" xfId="0" applyBorder="1" applyAlignment="1" applyProtection="1">
      <protection locked="0"/>
    </xf>
    <xf numFmtId="0" fontId="5" fillId="0" borderId="0" xfId="0" applyFont="1" applyAlignment="1"/>
    <xf numFmtId="0" fontId="0" fillId="0" borderId="4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0" fillId="0" borderId="7" xfId="0" applyBorder="1" applyAlignment="1" applyProtection="1">
      <protection locked="0"/>
    </xf>
    <xf numFmtId="0" fontId="0" fillId="0" borderId="8" xfId="0" applyBorder="1" applyAlignment="1" applyProtection="1">
      <protection locked="0"/>
    </xf>
  </cellXfs>
  <cellStyles count="1">
    <cellStyle name="Звичайний" xfId="0" builtinId="0"/>
  </cellStyles>
  <dxfs count="80"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78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defaultRowHeight="15"/>
  <cols>
    <col min="1" max="1" width="14" customWidth="1"/>
    <col min="2" max="2" width="60" customWidth="1"/>
  </cols>
  <sheetData>
    <row r="1" spans="1:2" ht="19.5">
      <c r="A1" s="3" t="s">
        <v>0</v>
      </c>
    </row>
    <row r="2" spans="1:2">
      <c r="A2" s="4" t="s">
        <v>1</v>
      </c>
    </row>
    <row r="4" spans="1:2">
      <c r="A4" s="1" t="s">
        <v>2</v>
      </c>
      <c r="B4" s="1" t="s">
        <v>3</v>
      </c>
    </row>
    <row r="5" spans="1:2">
      <c r="A5" t="s">
        <v>4</v>
      </c>
      <c r="B5" s="2" t="s">
        <v>5</v>
      </c>
    </row>
    <row r="6" spans="1:2">
      <c r="A6" t="s">
        <v>6</v>
      </c>
      <c r="B6" s="2" t="s">
        <v>7</v>
      </c>
    </row>
    <row r="7" spans="1:2">
      <c r="A7" t="s">
        <v>8</v>
      </c>
      <c r="B7" s="2" t="s">
        <v>9</v>
      </c>
    </row>
    <row r="8" spans="1:2">
      <c r="A8" t="s">
        <v>10</v>
      </c>
      <c r="B8" s="2" t="s">
        <v>11</v>
      </c>
    </row>
    <row r="9" spans="1:2">
      <c r="A9" t="s">
        <v>12</v>
      </c>
      <c r="B9" s="2" t="s">
        <v>13</v>
      </c>
    </row>
    <row r="10" spans="1:2">
      <c r="A10" t="s">
        <v>14</v>
      </c>
      <c r="B10" s="2" t="s">
        <v>15</v>
      </c>
    </row>
    <row r="11" spans="1:2">
      <c r="A11" t="s">
        <v>16</v>
      </c>
      <c r="B11" s="2" t="s">
        <v>17</v>
      </c>
    </row>
    <row r="12" spans="1:2">
      <c r="A12" t="s">
        <v>18</v>
      </c>
      <c r="B12" s="2" t="s">
        <v>19</v>
      </c>
    </row>
    <row r="13" spans="1:2">
      <c r="A13" t="s">
        <v>20</v>
      </c>
      <c r="B13" s="2" t="s">
        <v>21</v>
      </c>
    </row>
    <row r="14" spans="1:2">
      <c r="A14" t="s">
        <v>22</v>
      </c>
      <c r="B14" s="2" t="s">
        <v>23</v>
      </c>
    </row>
  </sheetData>
  <sheetProtection sheet="1"/>
  <hyperlinks>
    <hyperlink ref="B5" location="'В01 Інструкція'!A1" display="Відкрити аркуші варіанта 01" xr:uid="{00000000-0004-0000-0000-000000000000}"/>
    <hyperlink ref="B6" location="'В02 Інструкція'!A1" display="Відкрити аркуші варіанта 02" xr:uid="{00000000-0004-0000-0000-000001000000}"/>
    <hyperlink ref="B7" location="'В03 Інструкція'!A1" display="Відкрити аркуші варіанта 03" xr:uid="{00000000-0004-0000-0000-000002000000}"/>
    <hyperlink ref="B8" location="'В04 Інструкція'!A1" display="Відкрити аркуші варіанта 04" xr:uid="{00000000-0004-0000-0000-000003000000}"/>
    <hyperlink ref="B9" location="'В05 Інструкція'!A1" display="Відкрити аркуші варіанта 05" xr:uid="{00000000-0004-0000-0000-000004000000}"/>
    <hyperlink ref="B10" location="'В06 Інструкція'!A1" display="Відкрити аркуші варіанта 06" xr:uid="{00000000-0004-0000-0000-000005000000}"/>
    <hyperlink ref="B11" location="'В07 Інструкція'!A1" display="Відкрити аркуші варіанта 07" xr:uid="{00000000-0004-0000-0000-000006000000}"/>
    <hyperlink ref="B12" location="'В08 Інструкція'!A1" display="Відкрити аркуші варіанта 08" xr:uid="{00000000-0004-0000-0000-000007000000}"/>
    <hyperlink ref="B13" location="'В09 Інструкція'!A1" display="Відкрити аркуші варіанта 09" xr:uid="{00000000-0004-0000-0000-000008000000}"/>
    <hyperlink ref="B14" location="'В10 Інструкція'!A1" display="Відкрити аркуші варіанта 10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B16"/>
  <sheetViews>
    <sheetView workbookViewId="0"/>
  </sheetViews>
  <sheetFormatPr defaultRowHeight="15"/>
  <cols>
    <col min="1" max="1" width="26" customWidth="1"/>
    <col min="2" max="2" width="104" customWidth="1"/>
  </cols>
  <sheetData>
    <row r="1" spans="1:2" ht="19.5">
      <c r="A1" s="3" t="s">
        <v>24</v>
      </c>
    </row>
    <row r="2" spans="1:2">
      <c r="A2" s="4" t="s">
        <v>25</v>
      </c>
    </row>
    <row r="4" spans="1:2">
      <c r="A4" s="5" t="s">
        <v>26</v>
      </c>
      <c r="B4" s="6"/>
    </row>
    <row r="5" spans="1:2" ht="25.5">
      <c r="A5" s="7" t="s">
        <v>27</v>
      </c>
      <c r="B5" s="6" t="s">
        <v>28</v>
      </c>
    </row>
    <row r="6" spans="1:2" ht="25.5">
      <c r="A6" s="7" t="s">
        <v>29</v>
      </c>
      <c r="B6" s="6" t="s">
        <v>30</v>
      </c>
    </row>
    <row r="7" spans="1:2" ht="25.5">
      <c r="A7" s="7" t="s">
        <v>31</v>
      </c>
      <c r="B7" s="6" t="s">
        <v>32</v>
      </c>
    </row>
    <row r="8" spans="1:2">
      <c r="A8" s="7" t="s">
        <v>33</v>
      </c>
      <c r="B8" s="6" t="s">
        <v>34</v>
      </c>
    </row>
    <row r="9" spans="1:2" ht="25.5">
      <c r="A9" s="7" t="s">
        <v>35</v>
      </c>
      <c r="B9" s="6" t="s">
        <v>36</v>
      </c>
    </row>
    <row r="10" spans="1:2">
      <c r="A10" s="7" t="s">
        <v>37</v>
      </c>
      <c r="B10" s="6" t="s">
        <v>38</v>
      </c>
    </row>
    <row r="11" spans="1:2">
      <c r="A11" s="7"/>
      <c r="B11" s="6"/>
    </row>
    <row r="12" spans="1:2">
      <c r="A12" s="7" t="s">
        <v>39</v>
      </c>
      <c r="B12" s="6" t="s">
        <v>40</v>
      </c>
    </row>
    <row r="13" spans="1:2">
      <c r="A13" s="7" t="s">
        <v>41</v>
      </c>
      <c r="B13" s="6" t="s">
        <v>42</v>
      </c>
    </row>
    <row r="14" spans="1:2" ht="25.5">
      <c r="A14" s="7" t="s">
        <v>43</v>
      </c>
      <c r="B14" s="6" t="s">
        <v>44</v>
      </c>
    </row>
    <row r="15" spans="1:2" ht="25.5">
      <c r="A15" s="7" t="s">
        <v>45</v>
      </c>
      <c r="B15" s="6" t="s">
        <v>46</v>
      </c>
    </row>
    <row r="16" spans="1:2">
      <c r="A16" s="7" t="s">
        <v>47</v>
      </c>
      <c r="B16" s="6" t="s">
        <v>48</v>
      </c>
    </row>
  </sheetData>
  <sheetProtection sheet="1" formatCell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B13"/>
  <sheetViews>
    <sheetView workbookViewId="0"/>
  </sheetViews>
  <sheetFormatPr defaultRowHeight="15"/>
  <cols>
    <col min="1" max="1" width="36" customWidth="1"/>
    <col min="2" max="2" width="70" customWidth="1"/>
  </cols>
  <sheetData>
    <row r="1" spans="1:2" ht="19.5">
      <c r="A1" s="3" t="s">
        <v>49</v>
      </c>
    </row>
    <row r="3" spans="1:2">
      <c r="A3" s="8" t="s">
        <v>50</v>
      </c>
      <c r="B3" s="9"/>
    </row>
    <row r="4" spans="1:2">
      <c r="A4" s="8" t="s">
        <v>51</v>
      </c>
      <c r="B4" s="10" t="s">
        <v>52</v>
      </c>
    </row>
    <row r="5" spans="1:2">
      <c r="A5" s="8" t="s">
        <v>53</v>
      </c>
      <c r="B5" s="10">
        <v>162</v>
      </c>
    </row>
    <row r="6" spans="1:2">
      <c r="A6" s="8" t="s">
        <v>54</v>
      </c>
      <c r="B6" s="10" t="s">
        <v>55</v>
      </c>
    </row>
    <row r="7" spans="1:2" ht="25.5">
      <c r="A7" s="8" t="s">
        <v>56</v>
      </c>
      <c r="B7" s="10" t="s">
        <v>57</v>
      </c>
    </row>
    <row r="8" spans="1:2" ht="25.5">
      <c r="A8" s="8" t="s">
        <v>58</v>
      </c>
      <c r="B8" s="10" t="s">
        <v>59</v>
      </c>
    </row>
    <row r="10" spans="1:2" ht="15.75">
      <c r="A10" s="11" t="s">
        <v>60</v>
      </c>
    </row>
    <row r="11" spans="1:2">
      <c r="A11" s="18" t="s">
        <v>61</v>
      </c>
      <c r="B11" s="21"/>
    </row>
    <row r="12" spans="1:2">
      <c r="A12" s="21"/>
      <c r="B12" s="21"/>
    </row>
    <row r="13" spans="1:2">
      <c r="A13" s="21"/>
      <c r="B13" s="21"/>
    </row>
  </sheetData>
  <sheetProtection sheet="1" formatCells="0"/>
  <mergeCells count="1">
    <mergeCell ref="A11:B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I25"/>
  <sheetViews>
    <sheetView workbookViewId="0"/>
  </sheetViews>
  <sheetFormatPr defaultRowHeight="15"/>
  <cols>
    <col min="1" max="1" width="5" customWidth="1"/>
    <col min="2" max="2" width="56" customWidth="1"/>
    <col min="3" max="3" width="11" customWidth="1"/>
    <col min="4" max="4" width="24" customWidth="1"/>
    <col min="5" max="5" width="16" customWidth="1"/>
    <col min="6" max="6" width="40" customWidth="1"/>
    <col min="7" max="7" width="3" customWidth="1"/>
    <col min="8" max="8" width="24" customWidth="1"/>
    <col min="9" max="9" width="14" customWidth="1"/>
  </cols>
  <sheetData>
    <row r="1" spans="1:9" ht="19.5">
      <c r="A1" s="3" t="s">
        <v>62</v>
      </c>
    </row>
    <row r="2" spans="1:9">
      <c r="A2" s="4" t="s">
        <v>63</v>
      </c>
    </row>
    <row r="3" spans="1:9">
      <c r="H3" s="12" t="s">
        <v>64</v>
      </c>
    </row>
    <row r="4" spans="1:9" ht="39.950000000000003" customHeight="1">
      <c r="A4" s="13" t="s">
        <v>65</v>
      </c>
      <c r="B4" s="13" t="s">
        <v>66</v>
      </c>
      <c r="C4" s="13" t="s">
        <v>67</v>
      </c>
      <c r="D4" s="13" t="s">
        <v>68</v>
      </c>
      <c r="E4" s="13" t="s">
        <v>69</v>
      </c>
      <c r="F4" s="13" t="s">
        <v>70</v>
      </c>
      <c r="H4" s="14" t="s">
        <v>68</v>
      </c>
      <c r="I4" s="14" t="s">
        <v>71</v>
      </c>
    </row>
    <row r="5" spans="1:9">
      <c r="A5" s="15">
        <v>1</v>
      </c>
      <c r="B5" s="15" t="s">
        <v>72</v>
      </c>
      <c r="C5" s="15">
        <v>3</v>
      </c>
      <c r="D5" s="15" t="s">
        <v>73</v>
      </c>
      <c r="E5" s="9"/>
      <c r="F5" s="15" t="str">
        <f t="shared" ref="F5:F25" si="0">IF(C5="","",IF(D5="","вкажіть тип",IF(E5="","призначте зону",IF(D5="потребує рішення","рішення поясніть на аркуші «Обґрунтування»",IF(IFERROR(VLOOKUP(D5,$H$5:$I$11,2,FALSE),"?")=E5,"ОК","тип пристрою не відповідає зоні")))))</f>
        <v>призначте зону</v>
      </c>
      <c r="H5" s="15" t="s">
        <v>73</v>
      </c>
      <c r="I5" s="15" t="s">
        <v>74</v>
      </c>
    </row>
    <row r="6" spans="1:9">
      <c r="A6" s="15">
        <v>2</v>
      </c>
      <c r="B6" s="15" t="s">
        <v>75</v>
      </c>
      <c r="C6" s="15">
        <v>1</v>
      </c>
      <c r="D6" s="15" t="s">
        <v>73</v>
      </c>
      <c r="E6" s="9"/>
      <c r="F6" s="15" t="str">
        <f t="shared" si="0"/>
        <v>призначте зону</v>
      </c>
      <c r="H6" s="15" t="s">
        <v>76</v>
      </c>
      <c r="I6" s="15" t="s">
        <v>77</v>
      </c>
    </row>
    <row r="7" spans="1:9">
      <c r="A7" s="15">
        <v>3</v>
      </c>
      <c r="B7" s="15" t="s">
        <v>78</v>
      </c>
      <c r="C7" s="15">
        <v>4</v>
      </c>
      <c r="D7" s="15" t="s">
        <v>76</v>
      </c>
      <c r="E7" s="9"/>
      <c r="F7" s="15" t="str">
        <f t="shared" si="0"/>
        <v>призначте зону</v>
      </c>
      <c r="H7" s="15" t="s">
        <v>79</v>
      </c>
      <c r="I7" s="15" t="s">
        <v>80</v>
      </c>
    </row>
    <row r="8" spans="1:9">
      <c r="A8" s="15">
        <v>4</v>
      </c>
      <c r="B8" s="15" t="s">
        <v>81</v>
      </c>
      <c r="C8" s="15">
        <v>2</v>
      </c>
      <c r="D8" s="15" t="s">
        <v>79</v>
      </c>
      <c r="E8" s="9"/>
      <c r="F8" s="15" t="str">
        <f t="shared" si="0"/>
        <v>призначте зону</v>
      </c>
      <c r="H8" s="15" t="s">
        <v>82</v>
      </c>
      <c r="I8" s="15" t="s">
        <v>83</v>
      </c>
    </row>
    <row r="9" spans="1:9">
      <c r="A9" s="15">
        <v>5</v>
      </c>
      <c r="B9" s="15" t="s">
        <v>84</v>
      </c>
      <c r="C9" s="15">
        <v>2</v>
      </c>
      <c r="D9" s="15" t="s">
        <v>82</v>
      </c>
      <c r="E9" s="9"/>
      <c r="F9" s="15" t="str">
        <f t="shared" si="0"/>
        <v>призначте зону</v>
      </c>
      <c r="H9" s="15" t="s">
        <v>85</v>
      </c>
      <c r="I9" s="15" t="s">
        <v>86</v>
      </c>
    </row>
    <row r="10" spans="1:9">
      <c r="A10" s="15">
        <v>6</v>
      </c>
      <c r="B10" s="15" t="s">
        <v>87</v>
      </c>
      <c r="C10" s="15">
        <v>4</v>
      </c>
      <c r="D10" s="15" t="s">
        <v>82</v>
      </c>
      <c r="E10" s="9"/>
      <c r="F10" s="15" t="str">
        <f t="shared" si="0"/>
        <v>призначте зону</v>
      </c>
      <c r="H10" s="15" t="s">
        <v>88</v>
      </c>
      <c r="I10" s="15" t="s">
        <v>89</v>
      </c>
    </row>
    <row r="11" spans="1:9">
      <c r="A11" s="15">
        <v>7</v>
      </c>
      <c r="B11" s="15" t="s">
        <v>90</v>
      </c>
      <c r="C11" s="15">
        <v>8</v>
      </c>
      <c r="D11" s="15" t="s">
        <v>85</v>
      </c>
      <c r="E11" s="9"/>
      <c r="F11" s="15" t="str">
        <f t="shared" si="0"/>
        <v>призначте зону</v>
      </c>
      <c r="H11" s="15" t="s">
        <v>91</v>
      </c>
      <c r="I11" s="15" t="s">
        <v>92</v>
      </c>
    </row>
    <row r="12" spans="1:9">
      <c r="A12" s="15">
        <v>8</v>
      </c>
      <c r="B12" s="15" t="s">
        <v>93</v>
      </c>
      <c r="C12" s="15">
        <v>3</v>
      </c>
      <c r="D12" s="15" t="s">
        <v>85</v>
      </c>
      <c r="E12" s="9"/>
      <c r="F12" s="15" t="str">
        <f t="shared" si="0"/>
        <v>призначте зону</v>
      </c>
      <c r="H12" s="16" t="s">
        <v>94</v>
      </c>
    </row>
    <row r="13" spans="1:9">
      <c r="A13" s="15">
        <v>9</v>
      </c>
      <c r="B13" s="15" t="s">
        <v>95</v>
      </c>
      <c r="C13" s="15">
        <v>4</v>
      </c>
      <c r="D13" s="15" t="s">
        <v>85</v>
      </c>
      <c r="E13" s="9"/>
      <c r="F13" s="15" t="str">
        <f t="shared" si="0"/>
        <v>призначте зону</v>
      </c>
    </row>
    <row r="14" spans="1:9">
      <c r="A14" s="15">
        <v>10</v>
      </c>
      <c r="B14" s="15" t="s">
        <v>96</v>
      </c>
      <c r="C14" s="15">
        <v>40</v>
      </c>
      <c r="D14" s="15" t="s">
        <v>88</v>
      </c>
      <c r="E14" s="9"/>
      <c r="F14" s="15" t="str">
        <f t="shared" si="0"/>
        <v>призначте зону</v>
      </c>
    </row>
    <row r="15" spans="1:9">
      <c r="A15" s="15">
        <v>11</v>
      </c>
      <c r="B15" s="15" t="s">
        <v>97</v>
      </c>
      <c r="C15" s="15">
        <v>2</v>
      </c>
      <c r="D15" s="15" t="s">
        <v>91</v>
      </c>
      <c r="E15" s="9"/>
      <c r="F15" s="15" t="str">
        <f t="shared" si="0"/>
        <v>призначте зону</v>
      </c>
    </row>
    <row r="16" spans="1:9">
      <c r="A16" s="15">
        <v>12</v>
      </c>
      <c r="B16" s="15" t="s">
        <v>98</v>
      </c>
      <c r="C16" s="15">
        <v>2</v>
      </c>
      <c r="D16" s="15" t="s">
        <v>91</v>
      </c>
      <c r="E16" s="9"/>
      <c r="F16" s="15" t="str">
        <f t="shared" si="0"/>
        <v>призначте зону</v>
      </c>
    </row>
    <row r="17" spans="1:6">
      <c r="A17" s="15">
        <v>13</v>
      </c>
      <c r="B17" s="15" t="s">
        <v>99</v>
      </c>
      <c r="C17" s="15">
        <v>2</v>
      </c>
      <c r="D17" s="15" t="s">
        <v>91</v>
      </c>
      <c r="E17" s="9"/>
      <c r="F17" s="15" t="str">
        <f t="shared" si="0"/>
        <v>призначте зону</v>
      </c>
    </row>
    <row r="18" spans="1:6">
      <c r="A18" s="15">
        <v>14</v>
      </c>
      <c r="B18" s="15" t="s">
        <v>100</v>
      </c>
      <c r="C18" s="15">
        <v>1</v>
      </c>
      <c r="D18" s="15" t="s">
        <v>91</v>
      </c>
      <c r="E18" s="9"/>
      <c r="F18" s="15" t="str">
        <f t="shared" si="0"/>
        <v>призначте зону</v>
      </c>
    </row>
    <row r="19" spans="1:6">
      <c r="A19" s="15">
        <v>15</v>
      </c>
      <c r="B19" s="15" t="s">
        <v>101</v>
      </c>
      <c r="C19" s="15">
        <v>1</v>
      </c>
      <c r="D19" s="15" t="s">
        <v>102</v>
      </c>
      <c r="E19" s="9"/>
      <c r="F19" s="15" t="str">
        <f t="shared" si="0"/>
        <v>призначте зону</v>
      </c>
    </row>
    <row r="20" spans="1:6">
      <c r="A20" s="15">
        <v>16</v>
      </c>
      <c r="B20" s="15" t="s">
        <v>103</v>
      </c>
      <c r="C20" s="15">
        <v>3</v>
      </c>
      <c r="D20" s="15" t="s">
        <v>102</v>
      </c>
      <c r="E20" s="9"/>
      <c r="F20" s="15" t="str">
        <f t="shared" si="0"/>
        <v>призначте зону</v>
      </c>
    </row>
    <row r="21" spans="1:6">
      <c r="A21" s="17">
        <v>17</v>
      </c>
      <c r="B21" s="9"/>
      <c r="C21" s="9"/>
      <c r="D21" s="9"/>
      <c r="E21" s="9"/>
      <c r="F21" s="15" t="str">
        <f t="shared" si="0"/>
        <v/>
      </c>
    </row>
    <row r="22" spans="1:6">
      <c r="A22" s="17">
        <v>18</v>
      </c>
      <c r="B22" s="9"/>
      <c r="C22" s="9"/>
      <c r="D22" s="9"/>
      <c r="E22" s="9"/>
      <c r="F22" s="15" t="str">
        <f t="shared" si="0"/>
        <v/>
      </c>
    </row>
    <row r="23" spans="1:6">
      <c r="A23" s="17">
        <v>19</v>
      </c>
      <c r="B23" s="9"/>
      <c r="C23" s="9"/>
      <c r="D23" s="9"/>
      <c r="E23" s="9"/>
      <c r="F23" s="15" t="str">
        <f t="shared" si="0"/>
        <v/>
      </c>
    </row>
    <row r="24" spans="1:6">
      <c r="A24" s="17">
        <v>20</v>
      </c>
      <c r="B24" s="9"/>
      <c r="C24" s="9"/>
      <c r="D24" s="9"/>
      <c r="E24" s="9"/>
      <c r="F24" s="15" t="str">
        <f t="shared" si="0"/>
        <v/>
      </c>
    </row>
    <row r="25" spans="1:6">
      <c r="A25" s="17">
        <v>21</v>
      </c>
      <c r="B25" s="9"/>
      <c r="C25" s="9"/>
      <c r="D25" s="9"/>
      <c r="E25" s="9"/>
      <c r="F25" s="15" t="str">
        <f t="shared" si="0"/>
        <v/>
      </c>
    </row>
  </sheetData>
  <sheetProtection sheet="1" formatCells="0"/>
  <conditionalFormatting sqref="F5:F25">
    <cfRule type="expression" dxfId="79" priority="1">
      <formula>F5="ОК"</formula>
    </cfRule>
    <cfRule type="expression" dxfId="78" priority="2">
      <formula>OR(LEFT(F5,3)="тип",F5="призначте зону",F5="вкажіть тип")</formula>
    </cfRule>
  </conditionalFormatting>
  <dataValidations count="2">
    <dataValidation type="list" allowBlank="1" sqref="E5:E25" xr:uid="{00000000-0002-0000-0300-000000000000}">
      <formula1>"KASA,MANAGERS,ABS,ATM_POS,IOT,GUEST,MGMT,NEW1,NEW2"</formula1>
    </dataValidation>
    <dataValidation type="list" allowBlank="1" sqref="D21:D25" xr:uid="{00000000-0002-0000-0300-000001000000}">
      <formula1>"каса,менеджер,АБС,платіжний пристрій,без користувача,клієнтські пристрої,мережеве обладнання,потребує рішення"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G17"/>
  <sheetViews>
    <sheetView workbookViewId="0"/>
  </sheetViews>
  <sheetFormatPr defaultRowHeight="15"/>
  <cols>
    <col min="1" max="1" width="6" customWidth="1"/>
    <col min="2" max="2" width="26" customWidth="1"/>
    <col min="3" max="3" width="14" customWidth="1"/>
    <col min="4" max="4" width="9" customWidth="1"/>
    <col min="5" max="5" width="20" customWidth="1"/>
    <col min="6" max="6" width="10" customWidth="1"/>
    <col min="7" max="7" width="20" customWidth="1"/>
  </cols>
  <sheetData>
    <row r="1" spans="1:7" ht="19.5">
      <c r="A1" s="3" t="s">
        <v>104</v>
      </c>
    </row>
    <row r="2" spans="1:7">
      <c r="A2" s="4" t="s">
        <v>105</v>
      </c>
    </row>
    <row r="4" spans="1:7" ht="39.950000000000003" customHeight="1">
      <c r="A4" s="13" t="s">
        <v>65</v>
      </c>
      <c r="B4" s="13" t="s">
        <v>71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47</v>
      </c>
    </row>
    <row r="5" spans="1:7">
      <c r="A5" s="15">
        <v>1</v>
      </c>
      <c r="B5" s="15" t="s">
        <v>110</v>
      </c>
      <c r="C5" s="15">
        <v>7</v>
      </c>
      <c r="D5" s="15">
        <v>20</v>
      </c>
      <c r="E5" s="15" t="s">
        <v>111</v>
      </c>
      <c r="F5" s="15" t="s">
        <v>112</v>
      </c>
      <c r="G5" s="15" t="s">
        <v>113</v>
      </c>
    </row>
    <row r="6" spans="1:7">
      <c r="A6" s="15">
        <v>2</v>
      </c>
      <c r="B6" s="15" t="s">
        <v>114</v>
      </c>
      <c r="C6" s="15">
        <v>6</v>
      </c>
      <c r="D6" s="15">
        <v>30</v>
      </c>
      <c r="E6" s="15" t="s">
        <v>115</v>
      </c>
      <c r="F6" s="15" t="s">
        <v>116</v>
      </c>
      <c r="G6" s="15" t="s">
        <v>117</v>
      </c>
    </row>
    <row r="7" spans="1:7">
      <c r="A7" s="15">
        <v>3</v>
      </c>
      <c r="B7" s="15" t="s">
        <v>118</v>
      </c>
      <c r="C7" s="15">
        <v>4</v>
      </c>
      <c r="D7" s="15">
        <v>40</v>
      </c>
      <c r="E7" s="15" t="s">
        <v>119</v>
      </c>
      <c r="F7" s="15" t="s">
        <v>120</v>
      </c>
      <c r="G7" s="15" t="s">
        <v>121</v>
      </c>
    </row>
    <row r="8" spans="1:7">
      <c r="A8" s="15">
        <v>4</v>
      </c>
      <c r="B8" s="15" t="s">
        <v>122</v>
      </c>
      <c r="C8" s="15">
        <v>9</v>
      </c>
      <c r="D8" s="15">
        <v>50</v>
      </c>
      <c r="E8" s="15" t="s">
        <v>123</v>
      </c>
      <c r="F8" s="15" t="s">
        <v>112</v>
      </c>
      <c r="G8" s="15" t="s">
        <v>124</v>
      </c>
    </row>
    <row r="9" spans="1:7">
      <c r="A9" s="15">
        <v>5</v>
      </c>
      <c r="B9" s="15" t="s">
        <v>125</v>
      </c>
      <c r="C9" s="15">
        <v>37</v>
      </c>
      <c r="D9" s="15">
        <v>60</v>
      </c>
      <c r="E9" s="15" t="s">
        <v>126</v>
      </c>
      <c r="F9" s="15" t="s">
        <v>127</v>
      </c>
      <c r="G9" s="15" t="s">
        <v>128</v>
      </c>
    </row>
    <row r="10" spans="1:7">
      <c r="A10" s="15">
        <v>6</v>
      </c>
      <c r="B10" s="15" t="s">
        <v>129</v>
      </c>
      <c r="C10" s="15">
        <v>61</v>
      </c>
      <c r="D10" s="15">
        <v>70</v>
      </c>
      <c r="E10" s="15" t="s">
        <v>130</v>
      </c>
      <c r="F10" s="15" t="s">
        <v>127</v>
      </c>
      <c r="G10" s="15" t="s">
        <v>131</v>
      </c>
    </row>
    <row r="11" spans="1:7">
      <c r="A11" s="15">
        <v>7</v>
      </c>
      <c r="B11" s="15" t="s">
        <v>132</v>
      </c>
      <c r="C11" s="15">
        <v>10</v>
      </c>
      <c r="D11" s="15">
        <v>40</v>
      </c>
      <c r="E11" s="15" t="s">
        <v>119</v>
      </c>
      <c r="F11" s="15" t="s">
        <v>112</v>
      </c>
      <c r="G11" s="15" t="s">
        <v>121</v>
      </c>
    </row>
    <row r="13" spans="1:7" ht="15.75">
      <c r="A13" s="11" t="s">
        <v>133</v>
      </c>
    </row>
    <row r="14" spans="1:7" ht="27.95" customHeight="1">
      <c r="A14" s="13" t="s">
        <v>134</v>
      </c>
      <c r="B14" s="13" t="s">
        <v>135</v>
      </c>
      <c r="C14" s="20" t="s">
        <v>136</v>
      </c>
      <c r="D14" s="22"/>
      <c r="E14" s="22"/>
      <c r="F14" s="22"/>
      <c r="G14" s="23"/>
    </row>
    <row r="15" spans="1:7">
      <c r="A15" s="9"/>
      <c r="B15" s="9"/>
      <c r="C15" s="19"/>
      <c r="D15" s="24"/>
      <c r="E15" s="24"/>
      <c r="F15" s="24"/>
      <c r="G15" s="25"/>
    </row>
    <row r="16" spans="1:7">
      <c r="A16" s="9"/>
      <c r="B16" s="9"/>
      <c r="C16" s="19"/>
      <c r="D16" s="24"/>
      <c r="E16" s="24"/>
      <c r="F16" s="24"/>
      <c r="G16" s="25"/>
    </row>
    <row r="17" spans="1:7">
      <c r="A17" s="9"/>
      <c r="B17" s="9"/>
      <c r="C17" s="19"/>
      <c r="D17" s="24"/>
      <c r="E17" s="24"/>
      <c r="F17" s="24"/>
      <c r="G17" s="25"/>
    </row>
  </sheetData>
  <sheetProtection sheet="1" formatCells="0"/>
  <mergeCells count="4">
    <mergeCell ref="C16:G16"/>
    <mergeCell ref="C15:G15"/>
    <mergeCell ref="C17:G17"/>
    <mergeCell ref="C14: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U20"/>
  <sheetViews>
    <sheetView workbookViewId="0"/>
  </sheetViews>
  <sheetFormatPr defaultRowHeight="15"/>
  <cols>
    <col min="1" max="1" width="11" customWidth="1"/>
    <col min="2" max="2" width="22" customWidth="1"/>
    <col min="3" max="3" width="10" customWidth="1"/>
    <col min="4" max="4" width="11" customWidth="1"/>
    <col min="5" max="5" width="13" customWidth="1"/>
    <col min="6" max="6" width="8" customWidth="1"/>
    <col min="7" max="8" width="16" customWidth="1"/>
    <col min="9" max="9" width="9" customWidth="1"/>
    <col min="10" max="10" width="16" customWidth="1"/>
    <col min="11" max="11" width="10" customWidth="1"/>
    <col min="12" max="12" width="56" customWidth="1"/>
    <col min="14" max="21" width="13" hidden="1" customWidth="1"/>
  </cols>
  <sheetData>
    <row r="1" spans="1:21" ht="19.5">
      <c r="A1" s="3" t="s">
        <v>137</v>
      </c>
    </row>
    <row r="2" spans="1:21">
      <c r="A2" s="4" t="s">
        <v>138</v>
      </c>
    </row>
    <row r="4" spans="1:21" ht="54" customHeight="1">
      <c r="A4" s="13" t="s">
        <v>139</v>
      </c>
      <c r="B4" s="13" t="s">
        <v>140</v>
      </c>
      <c r="C4" s="13" t="s">
        <v>141</v>
      </c>
      <c r="D4" s="13" t="s">
        <v>58</v>
      </c>
      <c r="E4" s="13" t="s">
        <v>142</v>
      </c>
      <c r="F4" s="13" t="s">
        <v>107</v>
      </c>
      <c r="G4" s="13" t="s">
        <v>143</v>
      </c>
      <c r="H4" s="13" t="s">
        <v>108</v>
      </c>
      <c r="I4" s="13" t="s">
        <v>144</v>
      </c>
      <c r="J4" s="13" t="s">
        <v>47</v>
      </c>
      <c r="K4" s="13" t="s">
        <v>145</v>
      </c>
      <c r="L4" s="13" t="s">
        <v>70</v>
      </c>
    </row>
    <row r="5" spans="1:21">
      <c r="A5" s="15" t="s">
        <v>74</v>
      </c>
      <c r="B5" s="15" t="s">
        <v>110</v>
      </c>
      <c r="C5" s="15">
        <f>SUMIF('В01 Пристрої'!$E$5:$E$25,A5,'В01 Пристрої'!$C$5:$C$25)</f>
        <v>0</v>
      </c>
      <c r="D5" s="15">
        <v>20</v>
      </c>
      <c r="E5" s="9"/>
      <c r="F5" s="9"/>
      <c r="G5" s="9"/>
      <c r="H5" s="9"/>
      <c r="I5" s="9"/>
      <c r="J5" s="9"/>
      <c r="K5" s="15" t="str">
        <f t="shared" ref="K5:K13" si="0">IF(OR(I5="",NOT(ISNUMBER(I5))),"",2^(32-I5)-2)</f>
        <v/>
      </c>
      <c r="L5" s="15"/>
      <c r="N5">
        <f t="shared" ref="N5:N13" si="1">IF(C5=0,0,ROUNDUP(ROUND(C5*(1+D5/100),6),0)+1)</f>
        <v>0</v>
      </c>
      <c r="O5" t="str">
        <f t="shared" ref="O5:O13" si="2">IF(N5=0,"",32-MAX(2,ROUNDUP(LOG(N5+2,2)-0.000001,0)))</f>
        <v/>
      </c>
      <c r="P5">
        <f t="shared" ref="P5:P13" si="3">IFERROR(VALUE(LEFT(H5,FIND(".",H5)-1)),-1)</f>
        <v>-1</v>
      </c>
      <c r="Q5">
        <f t="shared" ref="Q5:Q13" si="4">IFERROR(VALUE(MID(H5,FIND(".",H5)+1,FIND("#",SUBSTITUTE(H5,".","#",2))-FIND(".",H5)-1)),-1)</f>
        <v>-1</v>
      </c>
      <c r="R5">
        <f t="shared" ref="R5:R13" si="5">IFERROR(VALUE(MID(H5,FIND("#",SUBSTITUTE(H5,".","#",2))+1,FIND("#",SUBSTITUTE(H5,".","#",3))-FIND("#",SUBSTITUTE(H5,".","#",2))-1)),-1)</f>
        <v>-1</v>
      </c>
      <c r="S5">
        <f t="shared" ref="S5:S13" si="6">IFERROR(VALUE(MID(H5,FIND("#",SUBSTITUTE(H5,".","#",3))+1,3)),-1)</f>
        <v>-1</v>
      </c>
      <c r="T5">
        <f t="shared" ref="T5:T13" si="7">IFERROR(VALUE(MID(J5,FIND("#",SUBSTITUTE(J5,".","#",3))+1,3)),-1)</f>
        <v>-1</v>
      </c>
      <c r="U5">
        <f t="shared" ref="U5:U13" si="8">IF(IFERROR(LEFT(H5,FIND("#",SUBSTITUTE(H5,".","#",3))),"")=IFERROR(LEFT(J5,FIND("#",SUBSTITUTE(J5,".","#",3))),""),1,0)</f>
        <v>1</v>
      </c>
    </row>
    <row r="6" spans="1:21">
      <c r="A6" s="15" t="s">
        <v>77</v>
      </c>
      <c r="B6" s="15" t="s">
        <v>114</v>
      </c>
      <c r="C6" s="15">
        <f>SUMIF('В01 Пристрої'!$E$5:$E$25,A6,'В01 Пристрої'!$C$5:$C$25)</f>
        <v>0</v>
      </c>
      <c r="D6" s="15">
        <v>20</v>
      </c>
      <c r="E6" s="9"/>
      <c r="F6" s="9"/>
      <c r="G6" s="9"/>
      <c r="H6" s="9"/>
      <c r="I6" s="9"/>
      <c r="J6" s="9"/>
      <c r="K6" s="15" t="str">
        <f t="shared" si="0"/>
        <v/>
      </c>
      <c r="L6" s="15"/>
      <c r="N6">
        <f t="shared" si="1"/>
        <v>0</v>
      </c>
      <c r="O6" t="str">
        <f t="shared" si="2"/>
        <v/>
      </c>
      <c r="P6">
        <f t="shared" si="3"/>
        <v>-1</v>
      </c>
      <c r="Q6">
        <f t="shared" si="4"/>
        <v>-1</v>
      </c>
      <c r="R6">
        <f t="shared" si="5"/>
        <v>-1</v>
      </c>
      <c r="S6">
        <f t="shared" si="6"/>
        <v>-1</v>
      </c>
      <c r="T6">
        <f t="shared" si="7"/>
        <v>-1</v>
      </c>
      <c r="U6">
        <f t="shared" si="8"/>
        <v>1</v>
      </c>
    </row>
    <row r="7" spans="1:21">
      <c r="A7" s="15" t="s">
        <v>80</v>
      </c>
      <c r="B7" s="15" t="s">
        <v>118</v>
      </c>
      <c r="C7" s="15">
        <f>SUMIF('В01 Пристрої'!$E$5:$E$25,A7,'В01 Пристрої'!$C$5:$C$25)</f>
        <v>0</v>
      </c>
      <c r="D7" s="15">
        <v>50</v>
      </c>
      <c r="E7" s="9"/>
      <c r="F7" s="9"/>
      <c r="G7" s="9"/>
      <c r="H7" s="9"/>
      <c r="I7" s="9"/>
      <c r="J7" s="9"/>
      <c r="K7" s="15" t="str">
        <f t="shared" si="0"/>
        <v/>
      </c>
      <c r="L7" s="15"/>
      <c r="N7">
        <f t="shared" si="1"/>
        <v>0</v>
      </c>
      <c r="O7" t="str">
        <f t="shared" si="2"/>
        <v/>
      </c>
      <c r="P7">
        <f t="shared" si="3"/>
        <v>-1</v>
      </c>
      <c r="Q7">
        <f t="shared" si="4"/>
        <v>-1</v>
      </c>
      <c r="R7">
        <f t="shared" si="5"/>
        <v>-1</v>
      </c>
      <c r="S7">
        <f t="shared" si="6"/>
        <v>-1</v>
      </c>
      <c r="T7">
        <f t="shared" si="7"/>
        <v>-1</v>
      </c>
      <c r="U7">
        <f t="shared" si="8"/>
        <v>1</v>
      </c>
    </row>
    <row r="8" spans="1:21">
      <c r="A8" s="15" t="s">
        <v>83</v>
      </c>
      <c r="B8" s="15" t="s">
        <v>122</v>
      </c>
      <c r="C8" s="15">
        <f>SUMIF('В01 Пристрої'!$E$5:$E$25,A8,'В01 Пристрої'!$C$5:$C$25)</f>
        <v>0</v>
      </c>
      <c r="D8" s="15">
        <v>25</v>
      </c>
      <c r="E8" s="9"/>
      <c r="F8" s="9"/>
      <c r="G8" s="9"/>
      <c r="H8" s="9"/>
      <c r="I8" s="9"/>
      <c r="J8" s="9"/>
      <c r="K8" s="15" t="str">
        <f t="shared" si="0"/>
        <v/>
      </c>
      <c r="L8" s="15"/>
      <c r="N8">
        <f t="shared" si="1"/>
        <v>0</v>
      </c>
      <c r="O8" t="str">
        <f t="shared" si="2"/>
        <v/>
      </c>
      <c r="P8">
        <f t="shared" si="3"/>
        <v>-1</v>
      </c>
      <c r="Q8">
        <f t="shared" si="4"/>
        <v>-1</v>
      </c>
      <c r="R8">
        <f t="shared" si="5"/>
        <v>-1</v>
      </c>
      <c r="S8">
        <f t="shared" si="6"/>
        <v>-1</v>
      </c>
      <c r="T8">
        <f t="shared" si="7"/>
        <v>-1</v>
      </c>
      <c r="U8">
        <f t="shared" si="8"/>
        <v>1</v>
      </c>
    </row>
    <row r="9" spans="1:21">
      <c r="A9" s="15" t="s">
        <v>86</v>
      </c>
      <c r="B9" s="15" t="s">
        <v>125</v>
      </c>
      <c r="C9" s="15">
        <f>SUMIF('В01 Пристрої'!$E$5:$E$25,A9,'В01 Пристрої'!$C$5:$C$25)</f>
        <v>0</v>
      </c>
      <c r="D9" s="15">
        <v>100</v>
      </c>
      <c r="E9" s="9"/>
      <c r="F9" s="9"/>
      <c r="G9" s="9"/>
      <c r="H9" s="9"/>
      <c r="I9" s="9"/>
      <c r="J9" s="9"/>
      <c r="K9" s="15" t="str">
        <f t="shared" si="0"/>
        <v/>
      </c>
      <c r="L9" s="15"/>
      <c r="N9">
        <f t="shared" si="1"/>
        <v>0</v>
      </c>
      <c r="O9" t="str">
        <f t="shared" si="2"/>
        <v/>
      </c>
      <c r="P9">
        <f t="shared" si="3"/>
        <v>-1</v>
      </c>
      <c r="Q9">
        <f t="shared" si="4"/>
        <v>-1</v>
      </c>
      <c r="R9">
        <f t="shared" si="5"/>
        <v>-1</v>
      </c>
      <c r="S9">
        <f t="shared" si="6"/>
        <v>-1</v>
      </c>
      <c r="T9">
        <f t="shared" si="7"/>
        <v>-1</v>
      </c>
      <c r="U9">
        <f t="shared" si="8"/>
        <v>1</v>
      </c>
    </row>
    <row r="10" spans="1:21">
      <c r="A10" s="15" t="s">
        <v>89</v>
      </c>
      <c r="B10" s="15" t="s">
        <v>129</v>
      </c>
      <c r="C10" s="15">
        <f>SUMIF('В01 Пристрої'!$E$5:$E$25,A10,'В01 Пристрої'!$C$5:$C$25)</f>
        <v>0</v>
      </c>
      <c r="D10" s="15">
        <v>50</v>
      </c>
      <c r="E10" s="9"/>
      <c r="F10" s="9"/>
      <c r="G10" s="9"/>
      <c r="H10" s="9"/>
      <c r="I10" s="9"/>
      <c r="J10" s="9"/>
      <c r="K10" s="15" t="str">
        <f t="shared" si="0"/>
        <v/>
      </c>
      <c r="L10" s="15"/>
      <c r="N10">
        <f t="shared" si="1"/>
        <v>0</v>
      </c>
      <c r="O10" t="str">
        <f t="shared" si="2"/>
        <v/>
      </c>
      <c r="P10">
        <f t="shared" si="3"/>
        <v>-1</v>
      </c>
      <c r="Q10">
        <f t="shared" si="4"/>
        <v>-1</v>
      </c>
      <c r="R10">
        <f t="shared" si="5"/>
        <v>-1</v>
      </c>
      <c r="S10">
        <f t="shared" si="6"/>
        <v>-1</v>
      </c>
      <c r="T10">
        <f t="shared" si="7"/>
        <v>-1</v>
      </c>
      <c r="U10">
        <f t="shared" si="8"/>
        <v>1</v>
      </c>
    </row>
    <row r="11" spans="1:21">
      <c r="A11" s="15" t="s">
        <v>92</v>
      </c>
      <c r="B11" s="15" t="s">
        <v>132</v>
      </c>
      <c r="C11" s="15">
        <f>SUMIF('В01 Пристрої'!$E$5:$E$25,A11,'В01 Пристрої'!$C$5:$C$25)</f>
        <v>0</v>
      </c>
      <c r="D11" s="15">
        <v>20</v>
      </c>
      <c r="E11" s="9"/>
      <c r="F11" s="9"/>
      <c r="G11" s="9"/>
      <c r="H11" s="9"/>
      <c r="I11" s="9"/>
      <c r="J11" s="9"/>
      <c r="K11" s="15" t="str">
        <f t="shared" si="0"/>
        <v/>
      </c>
      <c r="L11" s="15"/>
      <c r="N11">
        <f t="shared" si="1"/>
        <v>0</v>
      </c>
      <c r="O11" t="str">
        <f t="shared" si="2"/>
        <v/>
      </c>
      <c r="P11">
        <f t="shared" si="3"/>
        <v>-1</v>
      </c>
      <c r="Q11">
        <f t="shared" si="4"/>
        <v>-1</v>
      </c>
      <c r="R11">
        <f t="shared" si="5"/>
        <v>-1</v>
      </c>
      <c r="S11">
        <f t="shared" si="6"/>
        <v>-1</v>
      </c>
      <c r="T11">
        <f t="shared" si="7"/>
        <v>-1</v>
      </c>
      <c r="U11">
        <f t="shared" si="8"/>
        <v>1</v>
      </c>
    </row>
    <row r="12" spans="1:21">
      <c r="A12" s="15" t="s">
        <v>146</v>
      </c>
      <c r="B12" s="9"/>
      <c r="C12" s="15">
        <f>SUMIF('В01 Пристрої'!$E$5:$E$25,A12,'В01 Пристрої'!$C$5:$C$25)</f>
        <v>0</v>
      </c>
      <c r="D12" s="9"/>
      <c r="E12" s="9"/>
      <c r="F12" s="9"/>
      <c r="G12" s="9"/>
      <c r="H12" s="9"/>
      <c r="I12" s="9"/>
      <c r="J12" s="9"/>
      <c r="K12" s="15" t="str">
        <f t="shared" si="0"/>
        <v/>
      </c>
      <c r="L12" s="15"/>
      <c r="N12">
        <f t="shared" si="1"/>
        <v>0</v>
      </c>
      <c r="O12" t="str">
        <f t="shared" si="2"/>
        <v/>
      </c>
      <c r="P12">
        <f t="shared" si="3"/>
        <v>-1</v>
      </c>
      <c r="Q12">
        <f t="shared" si="4"/>
        <v>-1</v>
      </c>
      <c r="R12">
        <f t="shared" si="5"/>
        <v>-1</v>
      </c>
      <c r="S12">
        <f t="shared" si="6"/>
        <v>-1</v>
      </c>
      <c r="T12">
        <f t="shared" si="7"/>
        <v>-1</v>
      </c>
      <c r="U12">
        <f t="shared" si="8"/>
        <v>1</v>
      </c>
    </row>
    <row r="13" spans="1:21">
      <c r="A13" s="15" t="s">
        <v>147</v>
      </c>
      <c r="B13" s="9"/>
      <c r="C13" s="15">
        <f>SUMIF('В01 Пристрої'!$E$5:$E$25,A13,'В01 Пристрої'!$C$5:$C$25)</f>
        <v>0</v>
      </c>
      <c r="D13" s="9"/>
      <c r="E13" s="9"/>
      <c r="F13" s="9"/>
      <c r="G13" s="9"/>
      <c r="H13" s="9"/>
      <c r="I13" s="9"/>
      <c r="J13" s="9"/>
      <c r="K13" s="15" t="str">
        <f t="shared" si="0"/>
        <v/>
      </c>
      <c r="L13" s="15"/>
      <c r="N13">
        <f t="shared" si="1"/>
        <v>0</v>
      </c>
      <c r="O13" t="str">
        <f t="shared" si="2"/>
        <v/>
      </c>
      <c r="P13">
        <f t="shared" si="3"/>
        <v>-1</v>
      </c>
      <c r="Q13">
        <f t="shared" si="4"/>
        <v>-1</v>
      </c>
      <c r="R13">
        <f t="shared" si="5"/>
        <v>-1</v>
      </c>
      <c r="S13">
        <f t="shared" si="6"/>
        <v>-1</v>
      </c>
      <c r="T13">
        <f t="shared" si="7"/>
        <v>-1</v>
      </c>
      <c r="U13">
        <f t="shared" si="8"/>
        <v>1</v>
      </c>
    </row>
    <row r="16" spans="1:21">
      <c r="B16" s="12" t="s">
        <v>148</v>
      </c>
    </row>
    <row r="17" spans="2:12">
      <c r="B17" s="6" t="s">
        <v>149</v>
      </c>
      <c r="C17" s="9"/>
    </row>
    <row r="18" spans="2:12">
      <c r="B18" s="6" t="s">
        <v>150</v>
      </c>
      <c r="C18" s="9"/>
    </row>
    <row r="20" spans="2:12" ht="25.5">
      <c r="B20" s="6" t="s">
        <v>151</v>
      </c>
      <c r="C20" s="9"/>
      <c r="L20" s="15" t="str">
        <f>IF(C20="","заповніть native VLAN",IF(NOT(AND(ISNUMBER(C20),C20&gt;=2,C20&lt;=254,C20=INT(C20))),"ціле число від 2 до 254",IF(COUNTIF($F$5:$F$13,C20)&gt;0,"native VLAN не має збігатися з VLAN зони",IF(AND(C17&lt;&gt;"",C18&lt;&gt;"",C20&gt;=C17,C20&lt;=C18),"native VLAN у зарезервованому діапазоні","ОК"))))</f>
        <v>заповніть native VLAN</v>
      </c>
    </row>
  </sheetData>
  <sheetProtection sheet="1" formatCells="0"/>
  <conditionalFormatting sqref="L5:L13">
    <cfRule type="expression" dxfId="77" priority="1">
      <formula>L5="ОК"</formula>
    </cfRule>
    <cfRule type="expression" dxfId="76" priority="2">
      <formula>AND(L5&lt;&gt;"",L5&lt;&gt;"ОК")</formula>
    </cfRule>
  </conditionalFormatting>
  <conditionalFormatting sqref="L20">
    <cfRule type="expression" dxfId="75" priority="3">
      <formula>L20="ОК"</formula>
    </cfRule>
    <cfRule type="expression" dxfId="74" priority="4">
      <formula>L20&lt;&gt;"ОК"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1"/>
  <sheetViews>
    <sheetView workbookViewId="0"/>
  </sheetViews>
  <sheetFormatPr defaultRowHeight="15"/>
  <cols>
    <col min="1" max="1" width="66" customWidth="1"/>
    <col min="2" max="2" width="22" customWidth="1"/>
  </cols>
  <sheetData>
    <row r="1" spans="1:2" ht="19.5">
      <c r="A1" s="3" t="s">
        <v>152</v>
      </c>
    </row>
    <row r="2" spans="1:2">
      <c r="A2" s="4" t="s">
        <v>153</v>
      </c>
    </row>
    <row r="4" spans="1:2">
      <c r="A4" s="15" t="s">
        <v>154</v>
      </c>
      <c r="B4" s="15">
        <f>SUM('В01 Пристрої'!C5:C25)</f>
        <v>82</v>
      </c>
    </row>
    <row r="5" spans="1:2">
      <c r="A5" s="15" t="s">
        <v>155</v>
      </c>
      <c r="B5" s="15">
        <f>COUNTIFS('В01 Пристрої'!C5:C25,"&gt;0",'В01 Пристрої'!E5:E25,"")</f>
        <v>16</v>
      </c>
    </row>
    <row r="6" spans="1:2">
      <c r="A6" s="15" t="s">
        <v>156</v>
      </c>
      <c r="B6" s="15">
        <f>COUNTIF('В01 Пристрої'!F5:F25,"тип*")</f>
        <v>0</v>
      </c>
    </row>
    <row r="7" spans="1:2">
      <c r="A7" s="15" t="s">
        <v>157</v>
      </c>
      <c r="B7" s="15">
        <f>COUNTIFS('В01 Зони й адреси'!L5:L13,"&lt;&gt;ОК",'В01 Зони й адреси'!C5:C13,"&gt;0")</f>
        <v>0</v>
      </c>
    </row>
    <row r="8" spans="1:2">
      <c r="A8" s="15" t="s">
        <v>158</v>
      </c>
      <c r="B8" s="15">
        <f>IF('В01 Зони й адреси'!L20="ОК",0,1)</f>
        <v>1</v>
      </c>
    </row>
    <row r="9" spans="1:2">
      <c r="A9" s="15" t="s">
        <v>159</v>
      </c>
      <c r="B9" s="15">
        <f>MAX(0,COUNTIF('В01 Пристрої'!D5:D25,"потребує рішення")-COUNTA('В01 Обґрунтування'!C5:C12))</f>
        <v>2</v>
      </c>
    </row>
    <row r="10" spans="1:2">
      <c r="A10" s="15" t="s">
        <v>160</v>
      </c>
      <c r="B10" s="15">
        <f>COUNTA('В01 Чернетка колеги'!A15:A17)</f>
        <v>0</v>
      </c>
    </row>
    <row r="11" spans="1:2">
      <c r="A11" s="15" t="s">
        <v>161</v>
      </c>
      <c r="B11" s="15" t="str">
        <f>IF(AND(B5=0,B6=0,B7=0,B8=0,B9=0,B10&gt;=3),"Можна здавати","Є що виправити")</f>
        <v>Є що виправити</v>
      </c>
    </row>
  </sheetData>
  <sheetProtection sheet="1" formatCells="0"/>
  <conditionalFormatting sqref="B11">
    <cfRule type="expression" dxfId="73" priority="1">
      <formula>B11="Можна здавати"</formula>
    </cfRule>
    <cfRule type="expression" dxfId="72" priority="2">
      <formula>B11&lt;&gt;"Можна здавати"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C23"/>
  <sheetViews>
    <sheetView workbookViewId="0"/>
  </sheetViews>
  <sheetFormatPr defaultRowHeight="15"/>
  <cols>
    <col min="1" max="1" width="40" customWidth="1"/>
    <col min="2" max="2" width="14" customWidth="1"/>
    <col min="3" max="3" width="100" customWidth="1"/>
  </cols>
  <sheetData>
    <row r="1" spans="1:3" ht="19.5">
      <c r="A1" s="3" t="s">
        <v>162</v>
      </c>
    </row>
    <row r="2" spans="1:3">
      <c r="A2" s="4" t="s">
        <v>163</v>
      </c>
    </row>
    <row r="4" spans="1:3" ht="30" customHeight="1">
      <c r="A4" s="13" t="s">
        <v>164</v>
      </c>
      <c r="B4" s="13" t="s">
        <v>71</v>
      </c>
      <c r="C4" s="13" t="s">
        <v>165</v>
      </c>
    </row>
    <row r="5" spans="1:3" ht="25.5">
      <c r="A5" s="15" t="s">
        <v>101</v>
      </c>
      <c r="B5" s="9"/>
      <c r="C5" s="9"/>
    </row>
    <row r="6" spans="1:3" ht="25.5">
      <c r="A6" s="15" t="s">
        <v>103</v>
      </c>
      <c r="B6" s="9"/>
      <c r="C6" s="9"/>
    </row>
    <row r="7" spans="1:3">
      <c r="A7" s="9"/>
      <c r="B7" s="9"/>
      <c r="C7" s="9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9"/>
      <c r="B12" s="9"/>
      <c r="C12" s="9"/>
    </row>
    <row r="15" spans="1:3">
      <c r="A15" s="26" t="s">
        <v>166</v>
      </c>
      <c r="B15" s="21"/>
      <c r="C15" s="21"/>
    </row>
    <row r="16" spans="1:3" ht="39.950000000000003" customHeight="1">
      <c r="A16" s="19"/>
      <c r="B16" s="27"/>
      <c r="C16" s="28"/>
    </row>
    <row r="17" spans="1:3">
      <c r="A17" s="29"/>
      <c r="B17" s="30"/>
      <c r="C17" s="31"/>
    </row>
    <row r="18" spans="1:3">
      <c r="A18" s="26" t="s">
        <v>167</v>
      </c>
      <c r="B18" s="21"/>
      <c r="C18" s="21"/>
    </row>
    <row r="19" spans="1:3" ht="39.950000000000003" customHeight="1">
      <c r="A19" s="19"/>
      <c r="B19" s="27"/>
      <c r="C19" s="28"/>
    </row>
    <row r="20" spans="1:3">
      <c r="A20" s="29"/>
      <c r="B20" s="30"/>
      <c r="C20" s="31"/>
    </row>
    <row r="21" spans="1:3">
      <c r="A21" s="26" t="s">
        <v>168</v>
      </c>
      <c r="B21" s="21"/>
      <c r="C21" s="21"/>
    </row>
    <row r="22" spans="1:3" ht="39.950000000000003" customHeight="1">
      <c r="A22" s="19"/>
      <c r="B22" s="27"/>
      <c r="C22" s="28"/>
    </row>
    <row r="23" spans="1:3">
      <c r="A23" s="29"/>
      <c r="B23" s="30"/>
      <c r="C23" s="31"/>
    </row>
  </sheetData>
  <sheetProtection sheet="1" formatCells="0"/>
  <mergeCells count="6">
    <mergeCell ref="A15:C15"/>
    <mergeCell ref="A16:C17"/>
    <mergeCell ref="A19:C20"/>
    <mergeCell ref="A18:C18"/>
    <mergeCell ref="A22:C23"/>
    <mergeCell ref="A21:C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B16"/>
  <sheetViews>
    <sheetView workbookViewId="0"/>
  </sheetViews>
  <sheetFormatPr defaultRowHeight="15"/>
  <cols>
    <col min="1" max="1" width="26" customWidth="1"/>
    <col min="2" max="2" width="104" customWidth="1"/>
  </cols>
  <sheetData>
    <row r="1" spans="1:2" ht="19.5">
      <c r="A1" s="3" t="s">
        <v>169</v>
      </c>
    </row>
    <row r="2" spans="1:2">
      <c r="A2" s="4" t="s">
        <v>25</v>
      </c>
    </row>
    <row r="4" spans="1:2">
      <c r="A4" s="5" t="s">
        <v>26</v>
      </c>
      <c r="B4" s="6"/>
    </row>
    <row r="5" spans="1:2" ht="25.5">
      <c r="A5" s="7" t="s">
        <v>27</v>
      </c>
      <c r="B5" s="6" t="s">
        <v>28</v>
      </c>
    </row>
    <row r="6" spans="1:2" ht="25.5">
      <c r="A6" s="7" t="s">
        <v>29</v>
      </c>
      <c r="B6" s="6" t="s">
        <v>30</v>
      </c>
    </row>
    <row r="7" spans="1:2" ht="25.5">
      <c r="A7" s="7" t="s">
        <v>31</v>
      </c>
      <c r="B7" s="6" t="s">
        <v>32</v>
      </c>
    </row>
    <row r="8" spans="1:2">
      <c r="A8" s="7" t="s">
        <v>33</v>
      </c>
      <c r="B8" s="6" t="s">
        <v>34</v>
      </c>
    </row>
    <row r="9" spans="1:2" ht="25.5">
      <c r="A9" s="7" t="s">
        <v>35</v>
      </c>
      <c r="B9" s="6" t="s">
        <v>36</v>
      </c>
    </row>
    <row r="10" spans="1:2">
      <c r="A10" s="7" t="s">
        <v>37</v>
      </c>
      <c r="B10" s="6" t="s">
        <v>38</v>
      </c>
    </row>
    <row r="11" spans="1:2">
      <c r="A11" s="7"/>
      <c r="B11" s="6"/>
    </row>
    <row r="12" spans="1:2">
      <c r="A12" s="7" t="s">
        <v>39</v>
      </c>
      <c r="B12" s="6" t="s">
        <v>40</v>
      </c>
    </row>
    <row r="13" spans="1:2">
      <c r="A13" s="7" t="s">
        <v>41</v>
      </c>
      <c r="B13" s="6" t="s">
        <v>42</v>
      </c>
    </row>
    <row r="14" spans="1:2" ht="25.5">
      <c r="A14" s="7" t="s">
        <v>43</v>
      </c>
      <c r="B14" s="6" t="s">
        <v>44</v>
      </c>
    </row>
    <row r="15" spans="1:2" ht="25.5">
      <c r="A15" s="7" t="s">
        <v>45</v>
      </c>
      <c r="B15" s="6" t="s">
        <v>46</v>
      </c>
    </row>
    <row r="16" spans="1:2">
      <c r="A16" s="7" t="s">
        <v>47</v>
      </c>
      <c r="B16" s="6" t="s">
        <v>48</v>
      </c>
    </row>
  </sheetData>
  <sheetProtection sheet="1" formatCells="0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</sheetPr>
  <dimension ref="A1:B13"/>
  <sheetViews>
    <sheetView workbookViewId="0"/>
  </sheetViews>
  <sheetFormatPr defaultRowHeight="15"/>
  <cols>
    <col min="1" max="1" width="36" customWidth="1"/>
    <col min="2" max="2" width="70" customWidth="1"/>
  </cols>
  <sheetData>
    <row r="1" spans="1:2" ht="19.5">
      <c r="A1" s="3" t="s">
        <v>170</v>
      </c>
    </row>
    <row r="3" spans="1:2">
      <c r="A3" s="8" t="s">
        <v>50</v>
      </c>
      <c r="B3" s="9"/>
    </row>
    <row r="4" spans="1:2">
      <c r="A4" s="8" t="s">
        <v>51</v>
      </c>
      <c r="B4" s="10" t="s">
        <v>171</v>
      </c>
    </row>
    <row r="5" spans="1:2">
      <c r="A5" s="8" t="s">
        <v>53</v>
      </c>
      <c r="B5" s="10">
        <v>178</v>
      </c>
    </row>
    <row r="6" spans="1:2">
      <c r="A6" s="8" t="s">
        <v>54</v>
      </c>
      <c r="B6" s="10" t="s">
        <v>172</v>
      </c>
    </row>
    <row r="7" spans="1:2" ht="25.5">
      <c r="A7" s="8" t="s">
        <v>56</v>
      </c>
      <c r="B7" s="10" t="s">
        <v>173</v>
      </c>
    </row>
    <row r="8" spans="1:2" ht="25.5">
      <c r="A8" s="8" t="s">
        <v>58</v>
      </c>
      <c r="B8" s="10" t="s">
        <v>174</v>
      </c>
    </row>
    <row r="10" spans="1:2" ht="15.75">
      <c r="A10" s="11" t="s">
        <v>60</v>
      </c>
    </row>
    <row r="11" spans="1:2">
      <c r="A11" s="18" t="s">
        <v>61</v>
      </c>
      <c r="B11" s="21"/>
    </row>
    <row r="12" spans="1:2">
      <c r="A12" s="21"/>
      <c r="B12" s="21"/>
    </row>
    <row r="13" spans="1:2">
      <c r="A13" s="21"/>
      <c r="B13" s="21"/>
    </row>
  </sheetData>
  <sheetProtection sheet="1" formatCells="0"/>
  <mergeCells count="1">
    <mergeCell ref="A11:B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5B6"/>
  </sheetPr>
  <dimension ref="A1:I25"/>
  <sheetViews>
    <sheetView workbookViewId="0"/>
  </sheetViews>
  <sheetFormatPr defaultRowHeight="15"/>
  <cols>
    <col min="1" max="1" width="5" customWidth="1"/>
    <col min="2" max="2" width="56" customWidth="1"/>
    <col min="3" max="3" width="11" customWidth="1"/>
    <col min="4" max="4" width="24" customWidth="1"/>
    <col min="5" max="5" width="16" customWidth="1"/>
    <col min="6" max="6" width="40" customWidth="1"/>
    <col min="7" max="7" width="3" customWidth="1"/>
    <col min="8" max="8" width="24" customWidth="1"/>
    <col min="9" max="9" width="14" customWidth="1"/>
  </cols>
  <sheetData>
    <row r="1" spans="1:9" ht="19.5">
      <c r="A1" s="3" t="s">
        <v>62</v>
      </c>
    </row>
    <row r="2" spans="1:9">
      <c r="A2" s="4" t="s">
        <v>63</v>
      </c>
    </row>
    <row r="3" spans="1:9">
      <c r="H3" s="12" t="s">
        <v>64</v>
      </c>
    </row>
    <row r="4" spans="1:9" ht="39.950000000000003" customHeight="1">
      <c r="A4" s="13" t="s">
        <v>65</v>
      </c>
      <c r="B4" s="13" t="s">
        <v>66</v>
      </c>
      <c r="C4" s="13" t="s">
        <v>67</v>
      </c>
      <c r="D4" s="13" t="s">
        <v>68</v>
      </c>
      <c r="E4" s="13" t="s">
        <v>69</v>
      </c>
      <c r="F4" s="13" t="s">
        <v>70</v>
      </c>
      <c r="H4" s="14" t="s">
        <v>68</v>
      </c>
      <c r="I4" s="14" t="s">
        <v>71</v>
      </c>
    </row>
    <row r="5" spans="1:9">
      <c r="A5" s="15">
        <v>1</v>
      </c>
      <c r="B5" s="15" t="s">
        <v>72</v>
      </c>
      <c r="C5" s="15">
        <v>4</v>
      </c>
      <c r="D5" s="15" t="s">
        <v>73</v>
      </c>
      <c r="E5" s="9"/>
      <c r="F5" s="15" t="str">
        <f t="shared" ref="F5:F25" si="0">IF(C5="","",IF(D5="","вкажіть тип",IF(E5="","призначте зону",IF(D5="потребує рішення","рішення поясніть на аркуші «Обґрунтування»",IF(IFERROR(VLOOKUP(D5,$H$5:$I$11,2,FALSE),"?")=E5,"ОК","тип пристрою не відповідає зоні")))))</f>
        <v>призначте зону</v>
      </c>
      <c r="H5" s="15" t="s">
        <v>73</v>
      </c>
      <c r="I5" s="15" t="s">
        <v>74</v>
      </c>
    </row>
    <row r="6" spans="1:9">
      <c r="A6" s="15">
        <v>2</v>
      </c>
      <c r="B6" s="15" t="s">
        <v>75</v>
      </c>
      <c r="C6" s="15">
        <v>2</v>
      </c>
      <c r="D6" s="15" t="s">
        <v>73</v>
      </c>
      <c r="E6" s="9"/>
      <c r="F6" s="15" t="str">
        <f t="shared" si="0"/>
        <v>призначте зону</v>
      </c>
      <c r="H6" s="15" t="s">
        <v>76</v>
      </c>
      <c r="I6" s="15" t="s">
        <v>77</v>
      </c>
    </row>
    <row r="7" spans="1:9">
      <c r="A7" s="15">
        <v>3</v>
      </c>
      <c r="B7" s="15" t="s">
        <v>78</v>
      </c>
      <c r="C7" s="15">
        <v>5</v>
      </c>
      <c r="D7" s="15" t="s">
        <v>76</v>
      </c>
      <c r="E7" s="9"/>
      <c r="F7" s="15" t="str">
        <f t="shared" si="0"/>
        <v>призначте зону</v>
      </c>
      <c r="H7" s="15" t="s">
        <v>79</v>
      </c>
      <c r="I7" s="15" t="s">
        <v>80</v>
      </c>
    </row>
    <row r="8" spans="1:9">
      <c r="A8" s="15">
        <v>4</v>
      </c>
      <c r="B8" s="15" t="s">
        <v>81</v>
      </c>
      <c r="C8" s="15">
        <v>3</v>
      </c>
      <c r="D8" s="15" t="s">
        <v>79</v>
      </c>
      <c r="E8" s="9"/>
      <c r="F8" s="15" t="str">
        <f t="shared" si="0"/>
        <v>призначте зону</v>
      </c>
      <c r="H8" s="15" t="s">
        <v>82</v>
      </c>
      <c r="I8" s="15" t="s">
        <v>83</v>
      </c>
    </row>
    <row r="9" spans="1:9">
      <c r="A9" s="15">
        <v>5</v>
      </c>
      <c r="B9" s="15" t="s">
        <v>84</v>
      </c>
      <c r="C9" s="15">
        <v>2</v>
      </c>
      <c r="D9" s="15" t="s">
        <v>82</v>
      </c>
      <c r="E9" s="9"/>
      <c r="F9" s="15" t="str">
        <f t="shared" si="0"/>
        <v>призначте зону</v>
      </c>
      <c r="H9" s="15" t="s">
        <v>85</v>
      </c>
      <c r="I9" s="15" t="s">
        <v>86</v>
      </c>
    </row>
    <row r="10" spans="1:9">
      <c r="A10" s="15">
        <v>6</v>
      </c>
      <c r="B10" s="15" t="s">
        <v>87</v>
      </c>
      <c r="C10" s="15">
        <v>6</v>
      </c>
      <c r="D10" s="15" t="s">
        <v>82</v>
      </c>
      <c r="E10" s="9"/>
      <c r="F10" s="15" t="str">
        <f t="shared" si="0"/>
        <v>призначте зону</v>
      </c>
      <c r="H10" s="15" t="s">
        <v>88</v>
      </c>
      <c r="I10" s="15" t="s">
        <v>89</v>
      </c>
    </row>
    <row r="11" spans="1:9">
      <c r="A11" s="15">
        <v>7</v>
      </c>
      <c r="B11" s="15" t="s">
        <v>90</v>
      </c>
      <c r="C11" s="15">
        <v>10</v>
      </c>
      <c r="D11" s="15" t="s">
        <v>85</v>
      </c>
      <c r="E11" s="9"/>
      <c r="F11" s="15" t="str">
        <f t="shared" si="0"/>
        <v>призначте зону</v>
      </c>
      <c r="H11" s="15" t="s">
        <v>91</v>
      </c>
      <c r="I11" s="15" t="s">
        <v>92</v>
      </c>
    </row>
    <row r="12" spans="1:9">
      <c r="A12" s="15">
        <v>8</v>
      </c>
      <c r="B12" s="15" t="s">
        <v>93</v>
      </c>
      <c r="C12" s="15">
        <v>4</v>
      </c>
      <c r="D12" s="15" t="s">
        <v>85</v>
      </c>
      <c r="E12" s="9"/>
      <c r="F12" s="15" t="str">
        <f t="shared" si="0"/>
        <v>призначте зону</v>
      </c>
      <c r="H12" s="16" t="s">
        <v>94</v>
      </c>
    </row>
    <row r="13" spans="1:9">
      <c r="A13" s="15">
        <v>9</v>
      </c>
      <c r="B13" s="15" t="s">
        <v>95</v>
      </c>
      <c r="C13" s="15">
        <v>3</v>
      </c>
      <c r="D13" s="15" t="s">
        <v>85</v>
      </c>
      <c r="E13" s="9"/>
      <c r="F13" s="15" t="str">
        <f t="shared" si="0"/>
        <v>призначте зону</v>
      </c>
    </row>
    <row r="14" spans="1:9">
      <c r="A14" s="15">
        <v>10</v>
      </c>
      <c r="B14" s="15" t="s">
        <v>96</v>
      </c>
      <c r="C14" s="15">
        <v>60</v>
      </c>
      <c r="D14" s="15" t="s">
        <v>88</v>
      </c>
      <c r="E14" s="9"/>
      <c r="F14" s="15" t="str">
        <f t="shared" si="0"/>
        <v>призначте зону</v>
      </c>
    </row>
    <row r="15" spans="1:9">
      <c r="A15" s="15">
        <v>11</v>
      </c>
      <c r="B15" s="15" t="s">
        <v>97</v>
      </c>
      <c r="C15" s="15">
        <v>2</v>
      </c>
      <c r="D15" s="15" t="s">
        <v>91</v>
      </c>
      <c r="E15" s="9"/>
      <c r="F15" s="15" t="str">
        <f t="shared" si="0"/>
        <v>призначте зону</v>
      </c>
    </row>
    <row r="16" spans="1:9">
      <c r="A16" s="15">
        <v>12</v>
      </c>
      <c r="B16" s="15" t="s">
        <v>98</v>
      </c>
      <c r="C16" s="15">
        <v>3</v>
      </c>
      <c r="D16" s="15" t="s">
        <v>91</v>
      </c>
      <c r="E16" s="9"/>
      <c r="F16" s="15" t="str">
        <f t="shared" si="0"/>
        <v>призначте зону</v>
      </c>
    </row>
    <row r="17" spans="1:6">
      <c r="A17" s="15">
        <v>13</v>
      </c>
      <c r="B17" s="15" t="s">
        <v>99</v>
      </c>
      <c r="C17" s="15">
        <v>2</v>
      </c>
      <c r="D17" s="15" t="s">
        <v>91</v>
      </c>
      <c r="E17" s="9"/>
      <c r="F17" s="15" t="str">
        <f t="shared" si="0"/>
        <v>призначте зону</v>
      </c>
    </row>
    <row r="18" spans="1:6">
      <c r="A18" s="15">
        <v>14</v>
      </c>
      <c r="B18" s="15" t="s">
        <v>100</v>
      </c>
      <c r="C18" s="15">
        <v>1</v>
      </c>
      <c r="D18" s="15" t="s">
        <v>91</v>
      </c>
      <c r="E18" s="9"/>
      <c r="F18" s="15" t="str">
        <f t="shared" si="0"/>
        <v>призначте зону</v>
      </c>
    </row>
    <row r="19" spans="1:6">
      <c r="A19" s="15">
        <v>15</v>
      </c>
      <c r="B19" s="15" t="s">
        <v>175</v>
      </c>
      <c r="C19" s="15">
        <v>2</v>
      </c>
      <c r="D19" s="15" t="s">
        <v>102</v>
      </c>
      <c r="E19" s="9"/>
      <c r="F19" s="15" t="str">
        <f t="shared" si="0"/>
        <v>призначте зону</v>
      </c>
    </row>
    <row r="20" spans="1:6">
      <c r="A20" s="15">
        <v>16</v>
      </c>
      <c r="B20" s="15" t="s">
        <v>176</v>
      </c>
      <c r="C20" s="15">
        <v>1</v>
      </c>
      <c r="D20" s="15" t="s">
        <v>102</v>
      </c>
      <c r="E20" s="9"/>
      <c r="F20" s="15" t="str">
        <f t="shared" si="0"/>
        <v>призначте зону</v>
      </c>
    </row>
    <row r="21" spans="1:6">
      <c r="A21" s="17">
        <v>17</v>
      </c>
      <c r="B21" s="9"/>
      <c r="C21" s="9"/>
      <c r="D21" s="9"/>
      <c r="E21" s="9"/>
      <c r="F21" s="15" t="str">
        <f t="shared" si="0"/>
        <v/>
      </c>
    </row>
    <row r="22" spans="1:6">
      <c r="A22" s="17">
        <v>18</v>
      </c>
      <c r="B22" s="9"/>
      <c r="C22" s="9"/>
      <c r="D22" s="9"/>
      <c r="E22" s="9"/>
      <c r="F22" s="15" t="str">
        <f t="shared" si="0"/>
        <v/>
      </c>
    </row>
    <row r="23" spans="1:6">
      <c r="A23" s="17">
        <v>19</v>
      </c>
      <c r="B23" s="9"/>
      <c r="C23" s="9"/>
      <c r="D23" s="9"/>
      <c r="E23" s="9"/>
      <c r="F23" s="15" t="str">
        <f t="shared" si="0"/>
        <v/>
      </c>
    </row>
    <row r="24" spans="1:6">
      <c r="A24" s="17">
        <v>20</v>
      </c>
      <c r="B24" s="9"/>
      <c r="C24" s="9"/>
      <c r="D24" s="9"/>
      <c r="E24" s="9"/>
      <c r="F24" s="15" t="str">
        <f t="shared" si="0"/>
        <v/>
      </c>
    </row>
    <row r="25" spans="1:6">
      <c r="A25" s="17">
        <v>21</v>
      </c>
      <c r="B25" s="9"/>
      <c r="C25" s="9"/>
      <c r="D25" s="9"/>
      <c r="E25" s="9"/>
      <c r="F25" s="15" t="str">
        <f t="shared" si="0"/>
        <v/>
      </c>
    </row>
  </sheetData>
  <sheetProtection sheet="1" formatCells="0"/>
  <conditionalFormatting sqref="F5:F25">
    <cfRule type="expression" dxfId="71" priority="1">
      <formula>F5="ОК"</formula>
    </cfRule>
    <cfRule type="expression" dxfId="70" priority="2">
      <formula>OR(LEFT(F5,3)="тип",F5="призначте зону",F5="вкажіть тип")</formula>
    </cfRule>
  </conditionalFormatting>
  <dataValidations count="2">
    <dataValidation type="list" allowBlank="1" sqref="E5:E25" xr:uid="{00000000-0002-0000-0A00-000000000000}">
      <formula1>"KASA,MANAGERS,ABS,ATM_POS,IOT,GUEST,MGMT,NEW1,NEW2"</formula1>
    </dataValidation>
    <dataValidation type="list" allowBlank="1" sqref="D21:D25" xr:uid="{00000000-0002-0000-0A00-000001000000}">
      <formula1>"каса,менеджер,АБС,платіжний пристрій,без користувача,клієнтські пристрої,мережеве обладнання,потребує рішення"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5B6"/>
  </sheetPr>
  <dimension ref="A1:G17"/>
  <sheetViews>
    <sheetView workbookViewId="0"/>
  </sheetViews>
  <sheetFormatPr defaultRowHeight="15"/>
  <cols>
    <col min="1" max="1" width="6" customWidth="1"/>
    <col min="2" max="2" width="26" customWidth="1"/>
    <col min="3" max="3" width="14" customWidth="1"/>
    <col min="4" max="4" width="9" customWidth="1"/>
    <col min="5" max="5" width="20" customWidth="1"/>
    <col min="6" max="6" width="10" customWidth="1"/>
    <col min="7" max="7" width="20" customWidth="1"/>
  </cols>
  <sheetData>
    <row r="1" spans="1:7" ht="19.5">
      <c r="A1" s="3" t="s">
        <v>104</v>
      </c>
    </row>
    <row r="2" spans="1:7">
      <c r="A2" s="4" t="s">
        <v>105</v>
      </c>
    </row>
    <row r="4" spans="1:7" ht="39.950000000000003" customHeight="1">
      <c r="A4" s="13" t="s">
        <v>65</v>
      </c>
      <c r="B4" s="13" t="s">
        <v>71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47</v>
      </c>
    </row>
    <row r="5" spans="1:7">
      <c r="A5" s="15">
        <v>1</v>
      </c>
      <c r="B5" s="15" t="s">
        <v>110</v>
      </c>
      <c r="C5" s="15">
        <v>8</v>
      </c>
      <c r="D5" s="15">
        <v>100</v>
      </c>
      <c r="E5" s="15" t="s">
        <v>177</v>
      </c>
      <c r="F5" s="15" t="s">
        <v>116</v>
      </c>
      <c r="G5" s="15" t="s">
        <v>178</v>
      </c>
    </row>
    <row r="6" spans="1:7">
      <c r="A6" s="15">
        <v>2</v>
      </c>
      <c r="B6" s="15" t="s">
        <v>114</v>
      </c>
      <c r="C6" s="15">
        <v>7</v>
      </c>
      <c r="D6" s="15">
        <v>110</v>
      </c>
      <c r="E6" s="15" t="s">
        <v>179</v>
      </c>
      <c r="F6" s="15" t="s">
        <v>112</v>
      </c>
      <c r="G6" s="15" t="s">
        <v>180</v>
      </c>
    </row>
    <row r="7" spans="1:7">
      <c r="A7" s="15">
        <v>3</v>
      </c>
      <c r="B7" s="15" t="s">
        <v>118</v>
      </c>
      <c r="C7" s="15">
        <v>5</v>
      </c>
      <c r="D7" s="15">
        <v>120</v>
      </c>
      <c r="E7" s="15" t="s">
        <v>177</v>
      </c>
      <c r="F7" s="15" t="s">
        <v>116</v>
      </c>
      <c r="G7" s="15" t="s">
        <v>178</v>
      </c>
    </row>
    <row r="8" spans="1:7">
      <c r="A8" s="15">
        <v>4</v>
      </c>
      <c r="B8" s="15" t="s">
        <v>122</v>
      </c>
      <c r="C8" s="15">
        <v>13</v>
      </c>
      <c r="D8" s="15">
        <v>1</v>
      </c>
      <c r="E8" s="15" t="s">
        <v>181</v>
      </c>
      <c r="F8" s="15" t="s">
        <v>112</v>
      </c>
      <c r="G8" s="15" t="s">
        <v>182</v>
      </c>
    </row>
    <row r="9" spans="1:7">
      <c r="A9" s="15">
        <v>5</v>
      </c>
      <c r="B9" s="15" t="s">
        <v>125</v>
      </c>
      <c r="C9" s="15">
        <v>27</v>
      </c>
      <c r="D9" s="15">
        <v>140</v>
      </c>
      <c r="E9" s="15" t="s">
        <v>183</v>
      </c>
      <c r="F9" s="15" t="s">
        <v>184</v>
      </c>
      <c r="G9" s="15" t="s">
        <v>185</v>
      </c>
    </row>
    <row r="10" spans="1:7">
      <c r="A10" s="15">
        <v>6</v>
      </c>
      <c r="B10" s="15" t="s">
        <v>129</v>
      </c>
      <c r="C10" s="15">
        <v>94</v>
      </c>
      <c r="D10" s="15">
        <v>150</v>
      </c>
      <c r="E10" s="15" t="s">
        <v>186</v>
      </c>
      <c r="F10" s="15" t="s">
        <v>187</v>
      </c>
      <c r="G10" s="15" t="s">
        <v>188</v>
      </c>
    </row>
    <row r="11" spans="1:7">
      <c r="A11" s="15">
        <v>7</v>
      </c>
      <c r="B11" s="15" t="s">
        <v>132</v>
      </c>
      <c r="C11" s="15">
        <v>11</v>
      </c>
      <c r="D11" s="15">
        <v>160</v>
      </c>
      <c r="E11" s="15" t="s">
        <v>189</v>
      </c>
      <c r="F11" s="15" t="s">
        <v>112</v>
      </c>
      <c r="G11" s="15" t="s">
        <v>190</v>
      </c>
    </row>
    <row r="13" spans="1:7" ht="15.75">
      <c r="A13" s="11" t="s">
        <v>133</v>
      </c>
    </row>
    <row r="14" spans="1:7" ht="27.95" customHeight="1">
      <c r="A14" s="13" t="s">
        <v>134</v>
      </c>
      <c r="B14" s="13" t="s">
        <v>135</v>
      </c>
      <c r="C14" s="20" t="s">
        <v>136</v>
      </c>
      <c r="D14" s="22"/>
      <c r="E14" s="22"/>
      <c r="F14" s="22"/>
      <c r="G14" s="23"/>
    </row>
    <row r="15" spans="1:7">
      <c r="A15" s="9"/>
      <c r="B15" s="9"/>
      <c r="C15" s="19"/>
      <c r="D15" s="24"/>
      <c r="E15" s="24"/>
      <c r="F15" s="24"/>
      <c r="G15" s="25"/>
    </row>
    <row r="16" spans="1:7">
      <c r="A16" s="9"/>
      <c r="B16" s="9"/>
      <c r="C16" s="19"/>
      <c r="D16" s="24"/>
      <c r="E16" s="24"/>
      <c r="F16" s="24"/>
      <c r="G16" s="25"/>
    </row>
    <row r="17" spans="1:7">
      <c r="A17" s="9"/>
      <c r="B17" s="9"/>
      <c r="C17" s="19"/>
      <c r="D17" s="24"/>
      <c r="E17" s="24"/>
      <c r="F17" s="24"/>
      <c r="G17" s="25"/>
    </row>
  </sheetData>
  <sheetProtection sheet="1" formatCells="0"/>
  <mergeCells count="4">
    <mergeCell ref="C16:G16"/>
    <mergeCell ref="C15:G15"/>
    <mergeCell ref="C17:G17"/>
    <mergeCell ref="C14:G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5B6"/>
  </sheetPr>
  <dimension ref="A1:U20"/>
  <sheetViews>
    <sheetView workbookViewId="0"/>
  </sheetViews>
  <sheetFormatPr defaultRowHeight="15"/>
  <cols>
    <col min="1" max="1" width="11" customWidth="1"/>
    <col min="2" max="2" width="22" customWidth="1"/>
    <col min="3" max="3" width="10" customWidth="1"/>
    <col min="4" max="4" width="11" customWidth="1"/>
    <col min="5" max="5" width="13" customWidth="1"/>
    <col min="6" max="6" width="8" customWidth="1"/>
    <col min="7" max="8" width="16" customWidth="1"/>
    <col min="9" max="9" width="9" customWidth="1"/>
    <col min="10" max="10" width="16" customWidth="1"/>
    <col min="11" max="11" width="10" customWidth="1"/>
    <col min="12" max="12" width="56" customWidth="1"/>
    <col min="14" max="21" width="13" hidden="1" customWidth="1"/>
  </cols>
  <sheetData>
    <row r="1" spans="1:21" ht="19.5">
      <c r="A1" s="3" t="s">
        <v>137</v>
      </c>
    </row>
    <row r="2" spans="1:21">
      <c r="A2" s="4" t="s">
        <v>138</v>
      </c>
    </row>
    <row r="4" spans="1:21" ht="54" customHeight="1">
      <c r="A4" s="13" t="s">
        <v>139</v>
      </c>
      <c r="B4" s="13" t="s">
        <v>140</v>
      </c>
      <c r="C4" s="13" t="s">
        <v>141</v>
      </c>
      <c r="D4" s="13" t="s">
        <v>58</v>
      </c>
      <c r="E4" s="13" t="s">
        <v>142</v>
      </c>
      <c r="F4" s="13" t="s">
        <v>107</v>
      </c>
      <c r="G4" s="13" t="s">
        <v>143</v>
      </c>
      <c r="H4" s="13" t="s">
        <v>108</v>
      </c>
      <c r="I4" s="13" t="s">
        <v>144</v>
      </c>
      <c r="J4" s="13" t="s">
        <v>47</v>
      </c>
      <c r="K4" s="13" t="s">
        <v>145</v>
      </c>
      <c r="L4" s="13" t="s">
        <v>70</v>
      </c>
    </row>
    <row r="5" spans="1:21">
      <c r="A5" s="15" t="s">
        <v>74</v>
      </c>
      <c r="B5" s="15" t="s">
        <v>110</v>
      </c>
      <c r="C5" s="15">
        <f>SUMIF('В02 Пристрої'!$E$5:$E$25,A5,'В02 Пристрої'!$C$5:$C$25)</f>
        <v>0</v>
      </c>
      <c r="D5" s="15">
        <v>10</v>
      </c>
      <c r="E5" s="9"/>
      <c r="F5" s="9"/>
      <c r="G5" s="9"/>
      <c r="H5" s="9"/>
      <c r="I5" s="9"/>
      <c r="J5" s="9"/>
      <c r="K5" s="15" t="str">
        <f t="shared" ref="K5:K13" si="0">IF(OR(I5="",NOT(ISNUMBER(I5))),"",2^(32-I5)-2)</f>
        <v/>
      </c>
      <c r="L5" s="15"/>
      <c r="N5">
        <f t="shared" ref="N5:N13" si="1">IF(C5=0,0,ROUNDUP(ROUND(C5*(1+D5/100),6),0)+1)</f>
        <v>0</v>
      </c>
      <c r="O5" t="str">
        <f t="shared" ref="O5:O13" si="2">IF(N5=0,"",32-MAX(2,ROUNDUP(LOG(N5+2,2)-0.000001,0)))</f>
        <v/>
      </c>
      <c r="P5">
        <f t="shared" ref="P5:P13" si="3">IFERROR(VALUE(LEFT(H5,FIND(".",H5)-1)),-1)</f>
        <v>-1</v>
      </c>
      <c r="Q5">
        <f t="shared" ref="Q5:Q13" si="4">IFERROR(VALUE(MID(H5,FIND(".",H5)+1,FIND("#",SUBSTITUTE(H5,".","#",2))-FIND(".",H5)-1)),-1)</f>
        <v>-1</v>
      </c>
      <c r="R5">
        <f t="shared" ref="R5:R13" si="5">IFERROR(VALUE(MID(H5,FIND("#",SUBSTITUTE(H5,".","#",2))+1,FIND("#",SUBSTITUTE(H5,".","#",3))-FIND("#",SUBSTITUTE(H5,".","#",2))-1)),-1)</f>
        <v>-1</v>
      </c>
      <c r="S5">
        <f t="shared" ref="S5:S13" si="6">IFERROR(VALUE(MID(H5,FIND("#",SUBSTITUTE(H5,".","#",3))+1,3)),-1)</f>
        <v>-1</v>
      </c>
      <c r="T5">
        <f t="shared" ref="T5:T13" si="7">IFERROR(VALUE(MID(J5,FIND("#",SUBSTITUTE(J5,".","#",3))+1,3)),-1)</f>
        <v>-1</v>
      </c>
      <c r="U5">
        <f t="shared" ref="U5:U13" si="8">IF(IFERROR(LEFT(H5,FIND("#",SUBSTITUTE(H5,".","#",3))),"")=IFERROR(LEFT(J5,FIND("#",SUBSTITUTE(J5,".","#",3))),""),1,0)</f>
        <v>1</v>
      </c>
    </row>
    <row r="6" spans="1:21">
      <c r="A6" s="15" t="s">
        <v>77</v>
      </c>
      <c r="B6" s="15" t="s">
        <v>114</v>
      </c>
      <c r="C6" s="15">
        <f>SUMIF('В02 Пристрої'!$E$5:$E$25,A6,'В02 Пристрої'!$C$5:$C$25)</f>
        <v>0</v>
      </c>
      <c r="D6" s="15">
        <v>20</v>
      </c>
      <c r="E6" s="9"/>
      <c r="F6" s="9"/>
      <c r="G6" s="9"/>
      <c r="H6" s="9"/>
      <c r="I6" s="9"/>
      <c r="J6" s="9"/>
      <c r="K6" s="15" t="str">
        <f t="shared" si="0"/>
        <v/>
      </c>
      <c r="L6" s="15"/>
      <c r="N6">
        <f t="shared" si="1"/>
        <v>0</v>
      </c>
      <c r="O6" t="str">
        <f t="shared" si="2"/>
        <v/>
      </c>
      <c r="P6">
        <f t="shared" si="3"/>
        <v>-1</v>
      </c>
      <c r="Q6">
        <f t="shared" si="4"/>
        <v>-1</v>
      </c>
      <c r="R6">
        <f t="shared" si="5"/>
        <v>-1</v>
      </c>
      <c r="S6">
        <f t="shared" si="6"/>
        <v>-1</v>
      </c>
      <c r="T6">
        <f t="shared" si="7"/>
        <v>-1</v>
      </c>
      <c r="U6">
        <f t="shared" si="8"/>
        <v>1</v>
      </c>
    </row>
    <row r="7" spans="1:21">
      <c r="A7" s="15" t="s">
        <v>80</v>
      </c>
      <c r="B7" s="15" t="s">
        <v>118</v>
      </c>
      <c r="C7" s="15">
        <f>SUMIF('В02 Пристрої'!$E$5:$E$25,A7,'В02 Пристрої'!$C$5:$C$25)</f>
        <v>0</v>
      </c>
      <c r="D7" s="15">
        <v>30</v>
      </c>
      <c r="E7" s="9"/>
      <c r="F7" s="9"/>
      <c r="G7" s="9"/>
      <c r="H7" s="9"/>
      <c r="I7" s="9"/>
      <c r="J7" s="9"/>
      <c r="K7" s="15" t="str">
        <f t="shared" si="0"/>
        <v/>
      </c>
      <c r="L7" s="15"/>
      <c r="N7">
        <f t="shared" si="1"/>
        <v>0</v>
      </c>
      <c r="O7" t="str">
        <f t="shared" si="2"/>
        <v/>
      </c>
      <c r="P7">
        <f t="shared" si="3"/>
        <v>-1</v>
      </c>
      <c r="Q7">
        <f t="shared" si="4"/>
        <v>-1</v>
      </c>
      <c r="R7">
        <f t="shared" si="5"/>
        <v>-1</v>
      </c>
      <c r="S7">
        <f t="shared" si="6"/>
        <v>-1</v>
      </c>
      <c r="T7">
        <f t="shared" si="7"/>
        <v>-1</v>
      </c>
      <c r="U7">
        <f t="shared" si="8"/>
        <v>1</v>
      </c>
    </row>
    <row r="8" spans="1:21">
      <c r="A8" s="15" t="s">
        <v>83</v>
      </c>
      <c r="B8" s="15" t="s">
        <v>122</v>
      </c>
      <c r="C8" s="15">
        <f>SUMIF('В02 Пристрої'!$E$5:$E$25,A8,'В02 Пристрої'!$C$5:$C$25)</f>
        <v>0</v>
      </c>
      <c r="D8" s="15">
        <v>30</v>
      </c>
      <c r="E8" s="9"/>
      <c r="F8" s="9"/>
      <c r="G8" s="9"/>
      <c r="H8" s="9"/>
      <c r="I8" s="9"/>
      <c r="J8" s="9"/>
      <c r="K8" s="15" t="str">
        <f t="shared" si="0"/>
        <v/>
      </c>
      <c r="L8" s="15"/>
      <c r="N8">
        <f t="shared" si="1"/>
        <v>0</v>
      </c>
      <c r="O8" t="str">
        <f t="shared" si="2"/>
        <v/>
      </c>
      <c r="P8">
        <f t="shared" si="3"/>
        <v>-1</v>
      </c>
      <c r="Q8">
        <f t="shared" si="4"/>
        <v>-1</v>
      </c>
      <c r="R8">
        <f t="shared" si="5"/>
        <v>-1</v>
      </c>
      <c r="S8">
        <f t="shared" si="6"/>
        <v>-1</v>
      </c>
      <c r="T8">
        <f t="shared" si="7"/>
        <v>-1</v>
      </c>
      <c r="U8">
        <f t="shared" si="8"/>
        <v>1</v>
      </c>
    </row>
    <row r="9" spans="1:21">
      <c r="A9" s="15" t="s">
        <v>86</v>
      </c>
      <c r="B9" s="15" t="s">
        <v>125</v>
      </c>
      <c r="C9" s="15">
        <f>SUMIF('В02 Пристрої'!$E$5:$E$25,A9,'В02 Пристрої'!$C$5:$C$25)</f>
        <v>0</v>
      </c>
      <c r="D9" s="15">
        <v>50</v>
      </c>
      <c r="E9" s="9"/>
      <c r="F9" s="9"/>
      <c r="G9" s="9"/>
      <c r="H9" s="9"/>
      <c r="I9" s="9"/>
      <c r="J9" s="9"/>
      <c r="K9" s="15" t="str">
        <f t="shared" si="0"/>
        <v/>
      </c>
      <c r="L9" s="15"/>
      <c r="N9">
        <f t="shared" si="1"/>
        <v>0</v>
      </c>
      <c r="O9" t="str">
        <f t="shared" si="2"/>
        <v/>
      </c>
      <c r="P9">
        <f t="shared" si="3"/>
        <v>-1</v>
      </c>
      <c r="Q9">
        <f t="shared" si="4"/>
        <v>-1</v>
      </c>
      <c r="R9">
        <f t="shared" si="5"/>
        <v>-1</v>
      </c>
      <c r="S9">
        <f t="shared" si="6"/>
        <v>-1</v>
      </c>
      <c r="T9">
        <f t="shared" si="7"/>
        <v>-1</v>
      </c>
      <c r="U9">
        <f t="shared" si="8"/>
        <v>1</v>
      </c>
    </row>
    <row r="10" spans="1:21">
      <c r="A10" s="15" t="s">
        <v>89</v>
      </c>
      <c r="B10" s="15" t="s">
        <v>129</v>
      </c>
      <c r="C10" s="15">
        <f>SUMIF('В02 Пристрої'!$E$5:$E$25,A10,'В02 Пристрої'!$C$5:$C$25)</f>
        <v>0</v>
      </c>
      <c r="D10" s="15">
        <v>50</v>
      </c>
      <c r="E10" s="9"/>
      <c r="F10" s="9"/>
      <c r="G10" s="9"/>
      <c r="H10" s="9"/>
      <c r="I10" s="9"/>
      <c r="J10" s="9"/>
      <c r="K10" s="15" t="str">
        <f t="shared" si="0"/>
        <v/>
      </c>
      <c r="L10" s="15"/>
      <c r="N10">
        <f t="shared" si="1"/>
        <v>0</v>
      </c>
      <c r="O10" t="str">
        <f t="shared" si="2"/>
        <v/>
      </c>
      <c r="P10">
        <f t="shared" si="3"/>
        <v>-1</v>
      </c>
      <c r="Q10">
        <f t="shared" si="4"/>
        <v>-1</v>
      </c>
      <c r="R10">
        <f t="shared" si="5"/>
        <v>-1</v>
      </c>
      <c r="S10">
        <f t="shared" si="6"/>
        <v>-1</v>
      </c>
      <c r="T10">
        <f t="shared" si="7"/>
        <v>-1</v>
      </c>
      <c r="U10">
        <f t="shared" si="8"/>
        <v>1</v>
      </c>
    </row>
    <row r="11" spans="1:21">
      <c r="A11" s="15" t="s">
        <v>92</v>
      </c>
      <c r="B11" s="15" t="s">
        <v>132</v>
      </c>
      <c r="C11" s="15">
        <f>SUMIF('В02 Пристрої'!$E$5:$E$25,A11,'В02 Пристрої'!$C$5:$C$25)</f>
        <v>0</v>
      </c>
      <c r="D11" s="15">
        <v>25</v>
      </c>
      <c r="E11" s="9"/>
      <c r="F11" s="9"/>
      <c r="G11" s="9"/>
      <c r="H11" s="9"/>
      <c r="I11" s="9"/>
      <c r="J11" s="9"/>
      <c r="K11" s="15" t="str">
        <f t="shared" si="0"/>
        <v/>
      </c>
      <c r="L11" s="15"/>
      <c r="N11">
        <f t="shared" si="1"/>
        <v>0</v>
      </c>
      <c r="O11" t="str">
        <f t="shared" si="2"/>
        <v/>
      </c>
      <c r="P11">
        <f t="shared" si="3"/>
        <v>-1</v>
      </c>
      <c r="Q11">
        <f t="shared" si="4"/>
        <v>-1</v>
      </c>
      <c r="R11">
        <f t="shared" si="5"/>
        <v>-1</v>
      </c>
      <c r="S11">
        <f t="shared" si="6"/>
        <v>-1</v>
      </c>
      <c r="T11">
        <f t="shared" si="7"/>
        <v>-1</v>
      </c>
      <c r="U11">
        <f t="shared" si="8"/>
        <v>1</v>
      </c>
    </row>
    <row r="12" spans="1:21">
      <c r="A12" s="15" t="s">
        <v>146</v>
      </c>
      <c r="B12" s="9"/>
      <c r="C12" s="15">
        <f>SUMIF('В02 Пристрої'!$E$5:$E$25,A12,'В02 Пристрої'!$C$5:$C$25)</f>
        <v>0</v>
      </c>
      <c r="D12" s="9"/>
      <c r="E12" s="9"/>
      <c r="F12" s="9"/>
      <c r="G12" s="9"/>
      <c r="H12" s="9"/>
      <c r="I12" s="9"/>
      <c r="J12" s="9"/>
      <c r="K12" s="15" t="str">
        <f t="shared" si="0"/>
        <v/>
      </c>
      <c r="L12" s="15"/>
      <c r="N12">
        <f t="shared" si="1"/>
        <v>0</v>
      </c>
      <c r="O12" t="str">
        <f t="shared" si="2"/>
        <v/>
      </c>
      <c r="P12">
        <f t="shared" si="3"/>
        <v>-1</v>
      </c>
      <c r="Q12">
        <f t="shared" si="4"/>
        <v>-1</v>
      </c>
      <c r="R12">
        <f t="shared" si="5"/>
        <v>-1</v>
      </c>
      <c r="S12">
        <f t="shared" si="6"/>
        <v>-1</v>
      </c>
      <c r="T12">
        <f t="shared" si="7"/>
        <v>-1</v>
      </c>
      <c r="U12">
        <f t="shared" si="8"/>
        <v>1</v>
      </c>
    </row>
    <row r="13" spans="1:21">
      <c r="A13" s="15" t="s">
        <v>147</v>
      </c>
      <c r="B13" s="9"/>
      <c r="C13" s="15">
        <f>SUMIF('В02 Пристрої'!$E$5:$E$25,A13,'В02 Пристрої'!$C$5:$C$25)</f>
        <v>0</v>
      </c>
      <c r="D13" s="9"/>
      <c r="E13" s="9"/>
      <c r="F13" s="9"/>
      <c r="G13" s="9"/>
      <c r="H13" s="9"/>
      <c r="I13" s="9"/>
      <c r="J13" s="9"/>
      <c r="K13" s="15" t="str">
        <f t="shared" si="0"/>
        <v/>
      </c>
      <c r="L13" s="15"/>
      <c r="N13">
        <f t="shared" si="1"/>
        <v>0</v>
      </c>
      <c r="O13" t="str">
        <f t="shared" si="2"/>
        <v/>
      </c>
      <c r="P13">
        <f t="shared" si="3"/>
        <v>-1</v>
      </c>
      <c r="Q13">
        <f t="shared" si="4"/>
        <v>-1</v>
      </c>
      <c r="R13">
        <f t="shared" si="5"/>
        <v>-1</v>
      </c>
      <c r="S13">
        <f t="shared" si="6"/>
        <v>-1</v>
      </c>
      <c r="T13">
        <f t="shared" si="7"/>
        <v>-1</v>
      </c>
      <c r="U13">
        <f t="shared" si="8"/>
        <v>1</v>
      </c>
    </row>
    <row r="16" spans="1:21">
      <c r="B16" s="12" t="s">
        <v>148</v>
      </c>
    </row>
    <row r="17" spans="2:12">
      <c r="B17" s="6" t="s">
        <v>149</v>
      </c>
      <c r="C17" s="9"/>
    </row>
    <row r="18" spans="2:12">
      <c r="B18" s="6" t="s">
        <v>150</v>
      </c>
      <c r="C18" s="9"/>
    </row>
    <row r="20" spans="2:12" ht="25.5">
      <c r="B20" s="6" t="s">
        <v>151</v>
      </c>
      <c r="C20" s="9"/>
      <c r="L20" s="15" t="str">
        <f>IF(C20="","заповніть native VLAN",IF(NOT(AND(ISNUMBER(C20),C20&gt;=2,C20&lt;=254,C20=INT(C20))),"ціле число від 2 до 254",IF(COUNTIF($F$5:$F$13,C20)&gt;0,"native VLAN не має збігатися з VLAN зони",IF(AND(C17&lt;&gt;"",C18&lt;&gt;"",C20&gt;=C17,C20&lt;=C18),"native VLAN у зарезервованому діапазоні","ОК"))))</f>
        <v>заповніть native VLAN</v>
      </c>
    </row>
  </sheetData>
  <sheetProtection sheet="1" formatCells="0"/>
  <conditionalFormatting sqref="L5:L13">
    <cfRule type="expression" dxfId="69" priority="1">
      <formula>L5="ОК"</formula>
    </cfRule>
    <cfRule type="expression" dxfId="68" priority="2">
      <formula>AND(L5&lt;&gt;"",L5&lt;&gt;"ОК")</formula>
    </cfRule>
  </conditionalFormatting>
  <conditionalFormatting sqref="L20">
    <cfRule type="expression" dxfId="67" priority="3">
      <formula>L20="ОК"</formula>
    </cfRule>
    <cfRule type="expression" dxfId="66" priority="4">
      <formula>L20&lt;&gt;"ОК"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5B6"/>
  </sheetPr>
  <dimension ref="A1:B11"/>
  <sheetViews>
    <sheetView workbookViewId="0"/>
  </sheetViews>
  <sheetFormatPr defaultRowHeight="15"/>
  <cols>
    <col min="1" max="1" width="66" customWidth="1"/>
    <col min="2" max="2" width="22" customWidth="1"/>
  </cols>
  <sheetData>
    <row r="1" spans="1:2" ht="19.5">
      <c r="A1" s="3" t="s">
        <v>152</v>
      </c>
    </row>
    <row r="2" spans="1:2">
      <c r="A2" s="4" t="s">
        <v>153</v>
      </c>
    </row>
    <row r="4" spans="1:2">
      <c r="A4" s="15" t="s">
        <v>154</v>
      </c>
      <c r="B4" s="15">
        <f>SUM('В02 Пристрої'!C5:C25)</f>
        <v>110</v>
      </c>
    </row>
    <row r="5" spans="1:2">
      <c r="A5" s="15" t="s">
        <v>155</v>
      </c>
      <c r="B5" s="15">
        <f>COUNTIFS('В02 Пристрої'!C5:C25,"&gt;0",'В02 Пристрої'!E5:E25,"")</f>
        <v>16</v>
      </c>
    </row>
    <row r="6" spans="1:2">
      <c r="A6" s="15" t="s">
        <v>156</v>
      </c>
      <c r="B6" s="15">
        <f>COUNTIF('В02 Пристрої'!F5:F25,"тип*")</f>
        <v>0</v>
      </c>
    </row>
    <row r="7" spans="1:2">
      <c r="A7" s="15" t="s">
        <v>157</v>
      </c>
      <c r="B7" s="15">
        <f>COUNTIFS('В02 Зони й адреси'!L5:L13,"&lt;&gt;ОК",'В02 Зони й адреси'!C5:C13,"&gt;0")</f>
        <v>0</v>
      </c>
    </row>
    <row r="8" spans="1:2">
      <c r="A8" s="15" t="s">
        <v>158</v>
      </c>
      <c r="B8" s="15">
        <f>IF('В02 Зони й адреси'!L20="ОК",0,1)</f>
        <v>1</v>
      </c>
    </row>
    <row r="9" spans="1:2">
      <c r="A9" s="15" t="s">
        <v>159</v>
      </c>
      <c r="B9" s="15">
        <f>MAX(0,COUNTIF('В02 Пристрої'!D5:D25,"потребує рішення")-COUNTA('В02 Обґрунтування'!C5:C12))</f>
        <v>2</v>
      </c>
    </row>
    <row r="10" spans="1:2">
      <c r="A10" s="15" t="s">
        <v>160</v>
      </c>
      <c r="B10" s="15">
        <f>COUNTA('В02 Чернетка колеги'!A15:A17)</f>
        <v>0</v>
      </c>
    </row>
    <row r="11" spans="1:2">
      <c r="A11" s="15" t="s">
        <v>161</v>
      </c>
      <c r="B11" s="15" t="str">
        <f>IF(AND(B5=0,B6=0,B7=0,B8=0,B9=0,B10&gt;=3),"Можна здавати","Є що виправити")</f>
        <v>Є що виправити</v>
      </c>
    </row>
  </sheetData>
  <sheetProtection sheet="1" formatCells="0"/>
  <conditionalFormatting sqref="B11">
    <cfRule type="expression" dxfId="65" priority="1">
      <formula>B11="Можна здавати"</formula>
    </cfRule>
    <cfRule type="expression" dxfId="64" priority="2">
      <formula>B11&lt;&gt;"Можна здавати"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75B6"/>
  </sheetPr>
  <dimension ref="A1:C23"/>
  <sheetViews>
    <sheetView workbookViewId="0"/>
  </sheetViews>
  <sheetFormatPr defaultRowHeight="15"/>
  <cols>
    <col min="1" max="1" width="40" customWidth="1"/>
    <col min="2" max="2" width="14" customWidth="1"/>
    <col min="3" max="3" width="100" customWidth="1"/>
  </cols>
  <sheetData>
    <row r="1" spans="1:3" ht="19.5">
      <c r="A1" s="3" t="s">
        <v>162</v>
      </c>
    </row>
    <row r="2" spans="1:3">
      <c r="A2" s="4" t="s">
        <v>163</v>
      </c>
    </row>
    <row r="4" spans="1:3" ht="30" customHeight="1">
      <c r="A4" s="13" t="s">
        <v>164</v>
      </c>
      <c r="B4" s="13" t="s">
        <v>71</v>
      </c>
      <c r="C4" s="13" t="s">
        <v>165</v>
      </c>
    </row>
    <row r="5" spans="1:3" ht="25.5">
      <c r="A5" s="15" t="s">
        <v>175</v>
      </c>
      <c r="B5" s="9"/>
      <c r="C5" s="9"/>
    </row>
    <row r="6" spans="1:3" ht="25.5">
      <c r="A6" s="15" t="s">
        <v>176</v>
      </c>
      <c r="B6" s="9"/>
      <c r="C6" s="9"/>
    </row>
    <row r="7" spans="1:3">
      <c r="A7" s="9"/>
      <c r="B7" s="9"/>
      <c r="C7" s="9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9"/>
      <c r="B12" s="9"/>
      <c r="C12" s="9"/>
    </row>
    <row r="15" spans="1:3">
      <c r="A15" s="26" t="s">
        <v>166</v>
      </c>
      <c r="B15" s="21"/>
      <c r="C15" s="21"/>
    </row>
    <row r="16" spans="1:3" ht="39.950000000000003" customHeight="1">
      <c r="A16" s="19"/>
      <c r="B16" s="27"/>
      <c r="C16" s="28"/>
    </row>
    <row r="17" spans="1:3">
      <c r="A17" s="29"/>
      <c r="B17" s="30"/>
      <c r="C17" s="31"/>
    </row>
    <row r="18" spans="1:3">
      <c r="A18" s="26" t="s">
        <v>167</v>
      </c>
      <c r="B18" s="21"/>
      <c r="C18" s="21"/>
    </row>
    <row r="19" spans="1:3" ht="39.950000000000003" customHeight="1">
      <c r="A19" s="19"/>
      <c r="B19" s="27"/>
      <c r="C19" s="28"/>
    </row>
    <row r="20" spans="1:3">
      <c r="A20" s="29"/>
      <c r="B20" s="30"/>
      <c r="C20" s="31"/>
    </row>
    <row r="21" spans="1:3">
      <c r="A21" s="26" t="s">
        <v>168</v>
      </c>
      <c r="B21" s="21"/>
      <c r="C21" s="21"/>
    </row>
    <row r="22" spans="1:3" ht="39.950000000000003" customHeight="1">
      <c r="A22" s="19"/>
      <c r="B22" s="27"/>
      <c r="C22" s="28"/>
    </row>
    <row r="23" spans="1:3">
      <c r="A23" s="29"/>
      <c r="B23" s="30"/>
      <c r="C23" s="31"/>
    </row>
  </sheetData>
  <sheetProtection sheet="1" formatCells="0"/>
  <mergeCells count="6">
    <mergeCell ref="A15:C15"/>
    <mergeCell ref="A16:C17"/>
    <mergeCell ref="A19:C20"/>
    <mergeCell ref="A18:C18"/>
    <mergeCell ref="A22:C23"/>
    <mergeCell ref="A21:C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55A11"/>
  </sheetPr>
  <dimension ref="A1:B16"/>
  <sheetViews>
    <sheetView workbookViewId="0"/>
  </sheetViews>
  <sheetFormatPr defaultRowHeight="15"/>
  <cols>
    <col min="1" max="1" width="26" customWidth="1"/>
    <col min="2" max="2" width="104" customWidth="1"/>
  </cols>
  <sheetData>
    <row r="1" spans="1:2" ht="19.5">
      <c r="A1" s="3" t="s">
        <v>191</v>
      </c>
    </row>
    <row r="2" spans="1:2">
      <c r="A2" s="4" t="s">
        <v>25</v>
      </c>
    </row>
    <row r="4" spans="1:2">
      <c r="A4" s="5" t="s">
        <v>26</v>
      </c>
      <c r="B4" s="6"/>
    </row>
    <row r="5" spans="1:2" ht="25.5">
      <c r="A5" s="7" t="s">
        <v>27</v>
      </c>
      <c r="B5" s="6" t="s">
        <v>28</v>
      </c>
    </row>
    <row r="6" spans="1:2" ht="25.5">
      <c r="A6" s="7" t="s">
        <v>29</v>
      </c>
      <c r="B6" s="6" t="s">
        <v>30</v>
      </c>
    </row>
    <row r="7" spans="1:2" ht="25.5">
      <c r="A7" s="7" t="s">
        <v>31</v>
      </c>
      <c r="B7" s="6" t="s">
        <v>32</v>
      </c>
    </row>
    <row r="8" spans="1:2">
      <c r="A8" s="7" t="s">
        <v>33</v>
      </c>
      <c r="B8" s="6" t="s">
        <v>34</v>
      </c>
    </row>
    <row r="9" spans="1:2" ht="25.5">
      <c r="A9" s="7" t="s">
        <v>35</v>
      </c>
      <c r="B9" s="6" t="s">
        <v>36</v>
      </c>
    </row>
    <row r="10" spans="1:2">
      <c r="A10" s="7" t="s">
        <v>37</v>
      </c>
      <c r="B10" s="6" t="s">
        <v>38</v>
      </c>
    </row>
    <row r="11" spans="1:2">
      <c r="A11" s="7"/>
      <c r="B11" s="6"/>
    </row>
    <row r="12" spans="1:2">
      <c r="A12" s="7" t="s">
        <v>39</v>
      </c>
      <c r="B12" s="6" t="s">
        <v>40</v>
      </c>
    </row>
    <row r="13" spans="1:2">
      <c r="A13" s="7" t="s">
        <v>41</v>
      </c>
      <c r="B13" s="6" t="s">
        <v>42</v>
      </c>
    </row>
    <row r="14" spans="1:2" ht="25.5">
      <c r="A14" s="7" t="s">
        <v>43</v>
      </c>
      <c r="B14" s="6" t="s">
        <v>44</v>
      </c>
    </row>
    <row r="15" spans="1:2" ht="25.5">
      <c r="A15" s="7" t="s">
        <v>45</v>
      </c>
      <c r="B15" s="6" t="s">
        <v>46</v>
      </c>
    </row>
    <row r="16" spans="1:2">
      <c r="A16" s="7" t="s">
        <v>47</v>
      </c>
      <c r="B16" s="6" t="s">
        <v>48</v>
      </c>
    </row>
  </sheetData>
  <sheetProtection sheet="1" formatCells="0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55A11"/>
  </sheetPr>
  <dimension ref="A1:B13"/>
  <sheetViews>
    <sheetView workbookViewId="0"/>
  </sheetViews>
  <sheetFormatPr defaultRowHeight="15"/>
  <cols>
    <col min="1" max="1" width="36" customWidth="1"/>
    <col min="2" max="2" width="70" customWidth="1"/>
  </cols>
  <sheetData>
    <row r="1" spans="1:2" ht="19.5">
      <c r="A1" s="3" t="s">
        <v>192</v>
      </c>
    </row>
    <row r="3" spans="1:2">
      <c r="A3" s="8" t="s">
        <v>50</v>
      </c>
      <c r="B3" s="9"/>
    </row>
    <row r="4" spans="1:2">
      <c r="A4" s="8" t="s">
        <v>51</v>
      </c>
      <c r="B4" s="10" t="s">
        <v>193</v>
      </c>
    </row>
    <row r="5" spans="1:2">
      <c r="A5" s="8" t="s">
        <v>53</v>
      </c>
      <c r="B5" s="10">
        <v>45</v>
      </c>
    </row>
    <row r="6" spans="1:2">
      <c r="A6" s="8" t="s">
        <v>54</v>
      </c>
      <c r="B6" s="10" t="s">
        <v>55</v>
      </c>
    </row>
    <row r="7" spans="1:2" ht="25.5">
      <c r="A7" s="8" t="s">
        <v>56</v>
      </c>
      <c r="B7" s="10" t="s">
        <v>194</v>
      </c>
    </row>
    <row r="8" spans="1:2" ht="25.5">
      <c r="A8" s="8" t="s">
        <v>58</v>
      </c>
      <c r="B8" s="10" t="s">
        <v>195</v>
      </c>
    </row>
    <row r="10" spans="1:2" ht="15.75">
      <c r="A10" s="11" t="s">
        <v>60</v>
      </c>
    </row>
    <row r="11" spans="1:2">
      <c r="A11" s="18" t="s">
        <v>61</v>
      </c>
      <c r="B11" s="21"/>
    </row>
    <row r="12" spans="1:2">
      <c r="A12" s="21"/>
      <c r="B12" s="21"/>
    </row>
    <row r="13" spans="1:2">
      <c r="A13" s="21"/>
      <c r="B13" s="21"/>
    </row>
  </sheetData>
  <sheetProtection sheet="1" formatCells="0"/>
  <mergeCells count="1">
    <mergeCell ref="A11:B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55A11"/>
  </sheetPr>
  <dimension ref="A1:I25"/>
  <sheetViews>
    <sheetView workbookViewId="0"/>
  </sheetViews>
  <sheetFormatPr defaultRowHeight="15"/>
  <cols>
    <col min="1" max="1" width="5" customWidth="1"/>
    <col min="2" max="2" width="56" customWidth="1"/>
    <col min="3" max="3" width="11" customWidth="1"/>
    <col min="4" max="4" width="24" customWidth="1"/>
    <col min="5" max="5" width="16" customWidth="1"/>
    <col min="6" max="6" width="40" customWidth="1"/>
    <col min="7" max="7" width="3" customWidth="1"/>
    <col min="8" max="8" width="24" customWidth="1"/>
    <col min="9" max="9" width="14" customWidth="1"/>
  </cols>
  <sheetData>
    <row r="1" spans="1:9" ht="19.5">
      <c r="A1" s="3" t="s">
        <v>62</v>
      </c>
    </row>
    <row r="2" spans="1:9">
      <c r="A2" s="4" t="s">
        <v>63</v>
      </c>
    </row>
    <row r="3" spans="1:9">
      <c r="H3" s="12" t="s">
        <v>64</v>
      </c>
    </row>
    <row r="4" spans="1:9" ht="39.950000000000003" customHeight="1">
      <c r="A4" s="13" t="s">
        <v>65</v>
      </c>
      <c r="B4" s="13" t="s">
        <v>66</v>
      </c>
      <c r="C4" s="13" t="s">
        <v>67</v>
      </c>
      <c r="D4" s="13" t="s">
        <v>68</v>
      </c>
      <c r="E4" s="13" t="s">
        <v>69</v>
      </c>
      <c r="F4" s="13" t="s">
        <v>70</v>
      </c>
      <c r="H4" s="14" t="s">
        <v>68</v>
      </c>
      <c r="I4" s="14" t="s">
        <v>71</v>
      </c>
    </row>
    <row r="5" spans="1:9">
      <c r="A5" s="15">
        <v>1</v>
      </c>
      <c r="B5" s="15" t="s">
        <v>72</v>
      </c>
      <c r="C5" s="15">
        <v>5</v>
      </c>
      <c r="D5" s="15" t="s">
        <v>73</v>
      </c>
      <c r="E5" s="9"/>
      <c r="F5" s="15" t="str">
        <f t="shared" ref="F5:F25" si="0">IF(C5="","",IF(D5="","вкажіть тип",IF(E5="","призначте зону",IF(D5="потребує рішення","рішення поясніть на аркуші «Обґрунтування»",IF(IFERROR(VLOOKUP(D5,$H$5:$I$11,2,FALSE),"?")=E5,"ОК","тип пристрою не відповідає зоні")))))</f>
        <v>призначте зону</v>
      </c>
      <c r="H5" s="15" t="s">
        <v>73</v>
      </c>
      <c r="I5" s="15" t="s">
        <v>74</v>
      </c>
    </row>
    <row r="6" spans="1:9">
      <c r="A6" s="15">
        <v>2</v>
      </c>
      <c r="B6" s="15" t="s">
        <v>75</v>
      </c>
      <c r="C6" s="15">
        <v>1</v>
      </c>
      <c r="D6" s="15" t="s">
        <v>73</v>
      </c>
      <c r="E6" s="9"/>
      <c r="F6" s="15" t="str">
        <f t="shared" si="0"/>
        <v>призначте зону</v>
      </c>
      <c r="H6" s="15" t="s">
        <v>76</v>
      </c>
      <c r="I6" s="15" t="s">
        <v>77</v>
      </c>
    </row>
    <row r="7" spans="1:9">
      <c r="A7" s="15">
        <v>3</v>
      </c>
      <c r="B7" s="15" t="s">
        <v>78</v>
      </c>
      <c r="C7" s="15">
        <v>6</v>
      </c>
      <c r="D7" s="15" t="s">
        <v>76</v>
      </c>
      <c r="E7" s="9"/>
      <c r="F7" s="15" t="str">
        <f t="shared" si="0"/>
        <v>призначте зону</v>
      </c>
      <c r="H7" s="15" t="s">
        <v>79</v>
      </c>
      <c r="I7" s="15" t="s">
        <v>80</v>
      </c>
    </row>
    <row r="8" spans="1:9">
      <c r="A8" s="15">
        <v>4</v>
      </c>
      <c r="B8" s="15" t="s">
        <v>81</v>
      </c>
      <c r="C8" s="15">
        <v>4</v>
      </c>
      <c r="D8" s="15" t="s">
        <v>79</v>
      </c>
      <c r="E8" s="9"/>
      <c r="F8" s="15" t="str">
        <f t="shared" si="0"/>
        <v>призначте зону</v>
      </c>
      <c r="H8" s="15" t="s">
        <v>82</v>
      </c>
      <c r="I8" s="15" t="s">
        <v>83</v>
      </c>
    </row>
    <row r="9" spans="1:9">
      <c r="A9" s="15">
        <v>5</v>
      </c>
      <c r="B9" s="15" t="s">
        <v>84</v>
      </c>
      <c r="C9" s="15">
        <v>2</v>
      </c>
      <c r="D9" s="15" t="s">
        <v>82</v>
      </c>
      <c r="E9" s="9"/>
      <c r="F9" s="15" t="str">
        <f t="shared" si="0"/>
        <v>призначте зону</v>
      </c>
      <c r="H9" s="15" t="s">
        <v>85</v>
      </c>
      <c r="I9" s="15" t="s">
        <v>86</v>
      </c>
    </row>
    <row r="10" spans="1:9">
      <c r="A10" s="15">
        <v>6</v>
      </c>
      <c r="B10" s="15" t="s">
        <v>87</v>
      </c>
      <c r="C10" s="15">
        <v>8</v>
      </c>
      <c r="D10" s="15" t="s">
        <v>82</v>
      </c>
      <c r="E10" s="9"/>
      <c r="F10" s="15" t="str">
        <f t="shared" si="0"/>
        <v>призначте зону</v>
      </c>
      <c r="H10" s="15" t="s">
        <v>88</v>
      </c>
      <c r="I10" s="15" t="s">
        <v>89</v>
      </c>
    </row>
    <row r="11" spans="1:9">
      <c r="A11" s="15">
        <v>7</v>
      </c>
      <c r="B11" s="15" t="s">
        <v>90</v>
      </c>
      <c r="C11" s="15">
        <v>12</v>
      </c>
      <c r="D11" s="15" t="s">
        <v>85</v>
      </c>
      <c r="E11" s="9"/>
      <c r="F11" s="15" t="str">
        <f t="shared" si="0"/>
        <v>призначте зону</v>
      </c>
      <c r="H11" s="15" t="s">
        <v>91</v>
      </c>
      <c r="I11" s="15" t="s">
        <v>92</v>
      </c>
    </row>
    <row r="12" spans="1:9">
      <c r="A12" s="15">
        <v>8</v>
      </c>
      <c r="B12" s="15" t="s">
        <v>93</v>
      </c>
      <c r="C12" s="15">
        <v>5</v>
      </c>
      <c r="D12" s="15" t="s">
        <v>85</v>
      </c>
      <c r="E12" s="9"/>
      <c r="F12" s="15" t="str">
        <f t="shared" si="0"/>
        <v>призначте зону</v>
      </c>
      <c r="H12" s="16" t="s">
        <v>94</v>
      </c>
    </row>
    <row r="13" spans="1:9">
      <c r="A13" s="15">
        <v>9</v>
      </c>
      <c r="B13" s="15" t="s">
        <v>95</v>
      </c>
      <c r="C13" s="15">
        <v>6</v>
      </c>
      <c r="D13" s="15" t="s">
        <v>85</v>
      </c>
      <c r="E13" s="9"/>
      <c r="F13" s="15" t="str">
        <f t="shared" si="0"/>
        <v>призначте зону</v>
      </c>
    </row>
    <row r="14" spans="1:9">
      <c r="A14" s="15">
        <v>10</v>
      </c>
      <c r="B14" s="15" t="s">
        <v>96</v>
      </c>
      <c r="C14" s="15">
        <v>70</v>
      </c>
      <c r="D14" s="15" t="s">
        <v>88</v>
      </c>
      <c r="E14" s="9"/>
      <c r="F14" s="15" t="str">
        <f t="shared" si="0"/>
        <v>призначте зону</v>
      </c>
    </row>
    <row r="15" spans="1:9">
      <c r="A15" s="15">
        <v>11</v>
      </c>
      <c r="B15" s="15" t="s">
        <v>97</v>
      </c>
      <c r="C15" s="15">
        <v>3</v>
      </c>
      <c r="D15" s="15" t="s">
        <v>91</v>
      </c>
      <c r="E15" s="9"/>
      <c r="F15" s="15" t="str">
        <f t="shared" si="0"/>
        <v>призначте зону</v>
      </c>
    </row>
    <row r="16" spans="1:9">
      <c r="A16" s="15">
        <v>12</v>
      </c>
      <c r="B16" s="15" t="s">
        <v>98</v>
      </c>
      <c r="C16" s="15">
        <v>3</v>
      </c>
      <c r="D16" s="15" t="s">
        <v>91</v>
      </c>
      <c r="E16" s="9"/>
      <c r="F16" s="15" t="str">
        <f t="shared" si="0"/>
        <v>призначте зону</v>
      </c>
    </row>
    <row r="17" spans="1:6">
      <c r="A17" s="15">
        <v>13</v>
      </c>
      <c r="B17" s="15" t="s">
        <v>99</v>
      </c>
      <c r="C17" s="15">
        <v>2</v>
      </c>
      <c r="D17" s="15" t="s">
        <v>91</v>
      </c>
      <c r="E17" s="9"/>
      <c r="F17" s="15" t="str">
        <f t="shared" si="0"/>
        <v>призначте зону</v>
      </c>
    </row>
    <row r="18" spans="1:6">
      <c r="A18" s="15">
        <v>14</v>
      </c>
      <c r="B18" s="15" t="s">
        <v>100</v>
      </c>
      <c r="C18" s="15">
        <v>2</v>
      </c>
      <c r="D18" s="15" t="s">
        <v>91</v>
      </c>
      <c r="E18" s="9"/>
      <c r="F18" s="15" t="str">
        <f t="shared" si="0"/>
        <v>призначте зону</v>
      </c>
    </row>
    <row r="19" spans="1:6">
      <c r="A19" s="15">
        <v>15</v>
      </c>
      <c r="B19" s="15" t="s">
        <v>196</v>
      </c>
      <c r="C19" s="15">
        <v>8</v>
      </c>
      <c r="D19" s="15" t="s">
        <v>102</v>
      </c>
      <c r="E19" s="9"/>
      <c r="F19" s="15" t="str">
        <f t="shared" si="0"/>
        <v>призначте зону</v>
      </c>
    </row>
    <row r="20" spans="1:6">
      <c r="A20" s="15">
        <v>16</v>
      </c>
      <c r="B20" s="15" t="s">
        <v>197</v>
      </c>
      <c r="C20" s="15">
        <v>1</v>
      </c>
      <c r="D20" s="15" t="s">
        <v>102</v>
      </c>
      <c r="E20" s="9"/>
      <c r="F20" s="15" t="str">
        <f t="shared" si="0"/>
        <v>призначте зону</v>
      </c>
    </row>
    <row r="21" spans="1:6">
      <c r="A21" s="17">
        <v>17</v>
      </c>
      <c r="B21" s="9"/>
      <c r="C21" s="9"/>
      <c r="D21" s="9"/>
      <c r="E21" s="9"/>
      <c r="F21" s="15" t="str">
        <f t="shared" si="0"/>
        <v/>
      </c>
    </row>
    <row r="22" spans="1:6">
      <c r="A22" s="17">
        <v>18</v>
      </c>
      <c r="B22" s="9"/>
      <c r="C22" s="9"/>
      <c r="D22" s="9"/>
      <c r="E22" s="9"/>
      <c r="F22" s="15" t="str">
        <f t="shared" si="0"/>
        <v/>
      </c>
    </row>
    <row r="23" spans="1:6">
      <c r="A23" s="17">
        <v>19</v>
      </c>
      <c r="B23" s="9"/>
      <c r="C23" s="9"/>
      <c r="D23" s="9"/>
      <c r="E23" s="9"/>
      <c r="F23" s="15" t="str">
        <f t="shared" si="0"/>
        <v/>
      </c>
    </row>
    <row r="24" spans="1:6">
      <c r="A24" s="17">
        <v>20</v>
      </c>
      <c r="B24" s="9"/>
      <c r="C24" s="9"/>
      <c r="D24" s="9"/>
      <c r="E24" s="9"/>
      <c r="F24" s="15" t="str">
        <f t="shared" si="0"/>
        <v/>
      </c>
    </row>
    <row r="25" spans="1:6">
      <c r="A25" s="17">
        <v>21</v>
      </c>
      <c r="B25" s="9"/>
      <c r="C25" s="9"/>
      <c r="D25" s="9"/>
      <c r="E25" s="9"/>
      <c r="F25" s="15" t="str">
        <f t="shared" si="0"/>
        <v/>
      </c>
    </row>
  </sheetData>
  <sheetProtection sheet="1" formatCells="0"/>
  <conditionalFormatting sqref="F5:F25">
    <cfRule type="expression" dxfId="63" priority="1">
      <formula>F5="ОК"</formula>
    </cfRule>
    <cfRule type="expression" dxfId="62" priority="2">
      <formula>OR(LEFT(F5,3)="тип",F5="призначте зону",F5="вкажіть тип")</formula>
    </cfRule>
  </conditionalFormatting>
  <dataValidations count="2">
    <dataValidation type="list" allowBlank="1" sqref="E5:E25" xr:uid="{00000000-0002-0000-1100-000000000000}">
      <formula1>"KASA,MANAGERS,ABS,ATM_POS,IOT,GUEST,MGMT,NEW1,NEW2"</formula1>
    </dataValidation>
    <dataValidation type="list" allowBlank="1" sqref="D21:D25" xr:uid="{00000000-0002-0000-1100-000001000000}">
      <formula1>"каса,менеджер,АБС,платіжний пристрій,без користувача,клієнтські пристрої,мережеве обладнання,потребує рішення"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55A11"/>
  </sheetPr>
  <dimension ref="A1:G17"/>
  <sheetViews>
    <sheetView workbookViewId="0"/>
  </sheetViews>
  <sheetFormatPr defaultRowHeight="15"/>
  <cols>
    <col min="1" max="1" width="6" customWidth="1"/>
    <col min="2" max="2" width="26" customWidth="1"/>
    <col min="3" max="3" width="14" customWidth="1"/>
    <col min="4" max="4" width="9" customWidth="1"/>
    <col min="5" max="5" width="20" customWidth="1"/>
    <col min="6" max="6" width="10" customWidth="1"/>
    <col min="7" max="7" width="20" customWidth="1"/>
  </cols>
  <sheetData>
    <row r="1" spans="1:7" ht="19.5">
      <c r="A1" s="3" t="s">
        <v>104</v>
      </c>
    </row>
    <row r="2" spans="1:7">
      <c r="A2" s="4" t="s">
        <v>105</v>
      </c>
    </row>
    <row r="4" spans="1:7" ht="39.950000000000003" customHeight="1">
      <c r="A4" s="13" t="s">
        <v>65</v>
      </c>
      <c r="B4" s="13" t="s">
        <v>71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47</v>
      </c>
    </row>
    <row r="5" spans="1:7">
      <c r="A5" s="15">
        <v>1</v>
      </c>
      <c r="B5" s="15" t="s">
        <v>110</v>
      </c>
      <c r="C5" s="15">
        <v>9</v>
      </c>
      <c r="D5" s="15">
        <v>30</v>
      </c>
      <c r="E5" s="15" t="s">
        <v>198</v>
      </c>
      <c r="F5" s="15" t="s">
        <v>112</v>
      </c>
      <c r="G5" s="15" t="s">
        <v>199</v>
      </c>
    </row>
    <row r="6" spans="1:7">
      <c r="A6" s="15">
        <v>2</v>
      </c>
      <c r="B6" s="15" t="s">
        <v>114</v>
      </c>
      <c r="C6" s="15">
        <v>18</v>
      </c>
      <c r="D6" s="15">
        <v>40</v>
      </c>
      <c r="E6" s="15" t="s">
        <v>200</v>
      </c>
      <c r="F6" s="15" t="s">
        <v>116</v>
      </c>
      <c r="G6" s="15" t="s">
        <v>201</v>
      </c>
    </row>
    <row r="7" spans="1:7">
      <c r="A7" s="15">
        <v>3</v>
      </c>
      <c r="B7" s="15" t="s">
        <v>118</v>
      </c>
      <c r="C7" s="15">
        <v>6</v>
      </c>
      <c r="D7" s="15">
        <v>50</v>
      </c>
      <c r="E7" s="15" t="s">
        <v>202</v>
      </c>
      <c r="F7" s="15" t="s">
        <v>116</v>
      </c>
      <c r="G7" s="15" t="s">
        <v>203</v>
      </c>
    </row>
    <row r="8" spans="1:7">
      <c r="A8" s="15">
        <v>4</v>
      </c>
      <c r="B8" s="15" t="s">
        <v>122</v>
      </c>
      <c r="C8" s="15">
        <v>13</v>
      </c>
      <c r="D8" s="15">
        <v>60</v>
      </c>
      <c r="E8" s="15" t="s">
        <v>204</v>
      </c>
      <c r="F8" s="15" t="s">
        <v>112</v>
      </c>
      <c r="G8" s="15" t="s">
        <v>205</v>
      </c>
    </row>
    <row r="9" spans="1:7">
      <c r="A9" s="15">
        <v>5</v>
      </c>
      <c r="B9" s="15" t="s">
        <v>125</v>
      </c>
      <c r="C9" s="15">
        <v>33</v>
      </c>
      <c r="D9" s="15">
        <v>70</v>
      </c>
      <c r="E9" s="15" t="s">
        <v>206</v>
      </c>
      <c r="F9" s="15" t="s">
        <v>127</v>
      </c>
      <c r="G9" s="15" t="s">
        <v>207</v>
      </c>
    </row>
    <row r="10" spans="1:7">
      <c r="A10" s="15">
        <v>6</v>
      </c>
      <c r="B10" s="15" t="s">
        <v>129</v>
      </c>
      <c r="C10" s="15">
        <v>99</v>
      </c>
      <c r="D10" s="15">
        <v>80</v>
      </c>
      <c r="E10" s="15" t="s">
        <v>208</v>
      </c>
      <c r="F10" s="15" t="s">
        <v>187</v>
      </c>
      <c r="G10" s="15" t="s">
        <v>209</v>
      </c>
    </row>
    <row r="11" spans="1:7">
      <c r="A11" s="15">
        <v>7</v>
      </c>
      <c r="B11" s="15" t="s">
        <v>132</v>
      </c>
      <c r="C11" s="15">
        <v>13</v>
      </c>
      <c r="D11" s="15">
        <v>50</v>
      </c>
      <c r="E11" s="15" t="s">
        <v>202</v>
      </c>
      <c r="F11" s="15" t="s">
        <v>112</v>
      </c>
      <c r="G11" s="15" t="s">
        <v>203</v>
      </c>
    </row>
    <row r="13" spans="1:7" ht="15.75">
      <c r="A13" s="11" t="s">
        <v>133</v>
      </c>
    </row>
    <row r="14" spans="1:7" ht="27.95" customHeight="1">
      <c r="A14" s="13" t="s">
        <v>134</v>
      </c>
      <c r="B14" s="13" t="s">
        <v>135</v>
      </c>
      <c r="C14" s="20" t="s">
        <v>136</v>
      </c>
      <c r="D14" s="22"/>
      <c r="E14" s="22"/>
      <c r="F14" s="22"/>
      <c r="G14" s="23"/>
    </row>
    <row r="15" spans="1:7">
      <c r="A15" s="9"/>
      <c r="B15" s="9"/>
      <c r="C15" s="19"/>
      <c r="D15" s="24"/>
      <c r="E15" s="24"/>
      <c r="F15" s="24"/>
      <c r="G15" s="25"/>
    </row>
    <row r="16" spans="1:7">
      <c r="A16" s="9"/>
      <c r="B16" s="9"/>
      <c r="C16" s="19"/>
      <c r="D16" s="24"/>
      <c r="E16" s="24"/>
      <c r="F16" s="24"/>
      <c r="G16" s="25"/>
    </row>
    <row r="17" spans="1:7">
      <c r="A17" s="9"/>
      <c r="B17" s="9"/>
      <c r="C17" s="19"/>
      <c r="D17" s="24"/>
      <c r="E17" s="24"/>
      <c r="F17" s="24"/>
      <c r="G17" s="25"/>
    </row>
  </sheetData>
  <sheetProtection sheet="1" formatCells="0"/>
  <mergeCells count="4">
    <mergeCell ref="C16:G16"/>
    <mergeCell ref="C15:G15"/>
    <mergeCell ref="C17:G17"/>
    <mergeCell ref="C14:G1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55A11"/>
  </sheetPr>
  <dimension ref="A1:U20"/>
  <sheetViews>
    <sheetView workbookViewId="0"/>
  </sheetViews>
  <sheetFormatPr defaultRowHeight="15"/>
  <cols>
    <col min="1" max="1" width="11" customWidth="1"/>
    <col min="2" max="2" width="22" customWidth="1"/>
    <col min="3" max="3" width="10" customWidth="1"/>
    <col min="4" max="4" width="11" customWidth="1"/>
    <col min="5" max="5" width="13" customWidth="1"/>
    <col min="6" max="6" width="8" customWidth="1"/>
    <col min="7" max="8" width="16" customWidth="1"/>
    <col min="9" max="9" width="9" customWidth="1"/>
    <col min="10" max="10" width="16" customWidth="1"/>
    <col min="11" max="11" width="10" customWidth="1"/>
    <col min="12" max="12" width="56" customWidth="1"/>
    <col min="14" max="21" width="13" hidden="1" customWidth="1"/>
  </cols>
  <sheetData>
    <row r="1" spans="1:21" ht="19.5">
      <c r="A1" s="3" t="s">
        <v>137</v>
      </c>
    </row>
    <row r="2" spans="1:21">
      <c r="A2" s="4" t="s">
        <v>138</v>
      </c>
    </row>
    <row r="4" spans="1:21" ht="54" customHeight="1">
      <c r="A4" s="13" t="s">
        <v>139</v>
      </c>
      <c r="B4" s="13" t="s">
        <v>140</v>
      </c>
      <c r="C4" s="13" t="s">
        <v>141</v>
      </c>
      <c r="D4" s="13" t="s">
        <v>58</v>
      </c>
      <c r="E4" s="13" t="s">
        <v>142</v>
      </c>
      <c r="F4" s="13" t="s">
        <v>107</v>
      </c>
      <c r="G4" s="13" t="s">
        <v>143</v>
      </c>
      <c r="H4" s="13" t="s">
        <v>108</v>
      </c>
      <c r="I4" s="13" t="s">
        <v>144</v>
      </c>
      <c r="J4" s="13" t="s">
        <v>47</v>
      </c>
      <c r="K4" s="13" t="s">
        <v>145</v>
      </c>
      <c r="L4" s="13" t="s">
        <v>70</v>
      </c>
    </row>
    <row r="5" spans="1:21">
      <c r="A5" s="15" t="s">
        <v>74</v>
      </c>
      <c r="B5" s="15" t="s">
        <v>110</v>
      </c>
      <c r="C5" s="15">
        <f>SUMIF('В03 Пристрої'!$E$5:$E$25,A5,'В03 Пристрої'!$C$5:$C$25)</f>
        <v>0</v>
      </c>
      <c r="D5" s="15">
        <v>20</v>
      </c>
      <c r="E5" s="9"/>
      <c r="F5" s="9"/>
      <c r="G5" s="9"/>
      <c r="H5" s="9"/>
      <c r="I5" s="9"/>
      <c r="J5" s="9"/>
      <c r="K5" s="15" t="str">
        <f t="shared" ref="K5:K13" si="0">IF(OR(I5="",NOT(ISNUMBER(I5))),"",2^(32-I5)-2)</f>
        <v/>
      </c>
      <c r="L5" s="15"/>
      <c r="N5">
        <f t="shared" ref="N5:N13" si="1">IF(C5=0,0,ROUNDUP(ROUND(C5*(1+D5/100),6),0)+1)</f>
        <v>0</v>
      </c>
      <c r="O5" t="str">
        <f t="shared" ref="O5:O13" si="2">IF(N5=0,"",32-MAX(2,ROUNDUP(LOG(N5+2,2)-0.000001,0)))</f>
        <v/>
      </c>
      <c r="P5">
        <f t="shared" ref="P5:P13" si="3">IFERROR(VALUE(LEFT(H5,FIND(".",H5)-1)),-1)</f>
        <v>-1</v>
      </c>
      <c r="Q5">
        <f t="shared" ref="Q5:Q13" si="4">IFERROR(VALUE(MID(H5,FIND(".",H5)+1,FIND("#",SUBSTITUTE(H5,".","#",2))-FIND(".",H5)-1)),-1)</f>
        <v>-1</v>
      </c>
      <c r="R5">
        <f t="shared" ref="R5:R13" si="5">IFERROR(VALUE(MID(H5,FIND("#",SUBSTITUTE(H5,".","#",2))+1,FIND("#",SUBSTITUTE(H5,".","#",3))-FIND("#",SUBSTITUTE(H5,".","#",2))-1)),-1)</f>
        <v>-1</v>
      </c>
      <c r="S5">
        <f t="shared" ref="S5:S13" si="6">IFERROR(VALUE(MID(H5,FIND("#",SUBSTITUTE(H5,".","#",3))+1,3)),-1)</f>
        <v>-1</v>
      </c>
      <c r="T5">
        <f t="shared" ref="T5:T13" si="7">IFERROR(VALUE(MID(J5,FIND("#",SUBSTITUTE(J5,".","#",3))+1,3)),-1)</f>
        <v>-1</v>
      </c>
      <c r="U5">
        <f t="shared" ref="U5:U13" si="8">IF(IFERROR(LEFT(H5,FIND("#",SUBSTITUTE(H5,".","#",3))),"")=IFERROR(LEFT(J5,FIND("#",SUBSTITUTE(J5,".","#",3))),""),1,0)</f>
        <v>1</v>
      </c>
    </row>
    <row r="6" spans="1:21">
      <c r="A6" s="15" t="s">
        <v>77</v>
      </c>
      <c r="B6" s="15" t="s">
        <v>114</v>
      </c>
      <c r="C6" s="15">
        <f>SUMIF('В03 Пристрої'!$E$5:$E$25,A6,'В03 Пристрої'!$C$5:$C$25)</f>
        <v>0</v>
      </c>
      <c r="D6" s="15">
        <v>20</v>
      </c>
      <c r="E6" s="9"/>
      <c r="F6" s="9"/>
      <c r="G6" s="9"/>
      <c r="H6" s="9"/>
      <c r="I6" s="9"/>
      <c r="J6" s="9"/>
      <c r="K6" s="15" t="str">
        <f t="shared" si="0"/>
        <v/>
      </c>
      <c r="L6" s="15"/>
      <c r="N6">
        <f t="shared" si="1"/>
        <v>0</v>
      </c>
      <c r="O6" t="str">
        <f t="shared" si="2"/>
        <v/>
      </c>
      <c r="P6">
        <f t="shared" si="3"/>
        <v>-1</v>
      </c>
      <c r="Q6">
        <f t="shared" si="4"/>
        <v>-1</v>
      </c>
      <c r="R6">
        <f t="shared" si="5"/>
        <v>-1</v>
      </c>
      <c r="S6">
        <f t="shared" si="6"/>
        <v>-1</v>
      </c>
      <c r="T6">
        <f t="shared" si="7"/>
        <v>-1</v>
      </c>
      <c r="U6">
        <f t="shared" si="8"/>
        <v>1</v>
      </c>
    </row>
    <row r="7" spans="1:21">
      <c r="A7" s="15" t="s">
        <v>80</v>
      </c>
      <c r="B7" s="15" t="s">
        <v>118</v>
      </c>
      <c r="C7" s="15">
        <f>SUMIF('В03 Пристрої'!$E$5:$E$25,A7,'В03 Пристрої'!$C$5:$C$25)</f>
        <v>0</v>
      </c>
      <c r="D7" s="15">
        <v>25</v>
      </c>
      <c r="E7" s="9"/>
      <c r="F7" s="9"/>
      <c r="G7" s="9"/>
      <c r="H7" s="9"/>
      <c r="I7" s="9"/>
      <c r="J7" s="9"/>
      <c r="K7" s="15" t="str">
        <f t="shared" si="0"/>
        <v/>
      </c>
      <c r="L7" s="15"/>
      <c r="N7">
        <f t="shared" si="1"/>
        <v>0</v>
      </c>
      <c r="O7" t="str">
        <f t="shared" si="2"/>
        <v/>
      </c>
      <c r="P7">
        <f t="shared" si="3"/>
        <v>-1</v>
      </c>
      <c r="Q7">
        <f t="shared" si="4"/>
        <v>-1</v>
      </c>
      <c r="R7">
        <f t="shared" si="5"/>
        <v>-1</v>
      </c>
      <c r="S7">
        <f t="shared" si="6"/>
        <v>-1</v>
      </c>
      <c r="T7">
        <f t="shared" si="7"/>
        <v>-1</v>
      </c>
      <c r="U7">
        <f t="shared" si="8"/>
        <v>1</v>
      </c>
    </row>
    <row r="8" spans="1:21">
      <c r="A8" s="15" t="s">
        <v>83</v>
      </c>
      <c r="B8" s="15" t="s">
        <v>122</v>
      </c>
      <c r="C8" s="15">
        <f>SUMIF('В03 Пристрої'!$E$5:$E$25,A8,'В03 Пристрої'!$C$5:$C$25)</f>
        <v>0</v>
      </c>
      <c r="D8" s="15">
        <v>20</v>
      </c>
      <c r="E8" s="9"/>
      <c r="F8" s="9"/>
      <c r="G8" s="9"/>
      <c r="H8" s="9"/>
      <c r="I8" s="9"/>
      <c r="J8" s="9"/>
      <c r="K8" s="15" t="str">
        <f t="shared" si="0"/>
        <v/>
      </c>
      <c r="L8" s="15"/>
      <c r="N8">
        <f t="shared" si="1"/>
        <v>0</v>
      </c>
      <c r="O8" t="str">
        <f t="shared" si="2"/>
        <v/>
      </c>
      <c r="P8">
        <f t="shared" si="3"/>
        <v>-1</v>
      </c>
      <c r="Q8">
        <f t="shared" si="4"/>
        <v>-1</v>
      </c>
      <c r="R8">
        <f t="shared" si="5"/>
        <v>-1</v>
      </c>
      <c r="S8">
        <f t="shared" si="6"/>
        <v>-1</v>
      </c>
      <c r="T8">
        <f t="shared" si="7"/>
        <v>-1</v>
      </c>
      <c r="U8">
        <f t="shared" si="8"/>
        <v>1</v>
      </c>
    </row>
    <row r="9" spans="1:21">
      <c r="A9" s="15" t="s">
        <v>86</v>
      </c>
      <c r="B9" s="15" t="s">
        <v>125</v>
      </c>
      <c r="C9" s="15">
        <f>SUMIF('В03 Пристрої'!$E$5:$E$25,A9,'В03 Пристрої'!$C$5:$C$25)</f>
        <v>0</v>
      </c>
      <c r="D9" s="15">
        <v>30</v>
      </c>
      <c r="E9" s="9"/>
      <c r="F9" s="9"/>
      <c r="G9" s="9"/>
      <c r="H9" s="9"/>
      <c r="I9" s="9"/>
      <c r="J9" s="9"/>
      <c r="K9" s="15" t="str">
        <f t="shared" si="0"/>
        <v/>
      </c>
      <c r="L9" s="15"/>
      <c r="N9">
        <f t="shared" si="1"/>
        <v>0</v>
      </c>
      <c r="O9" t="str">
        <f t="shared" si="2"/>
        <v/>
      </c>
      <c r="P9">
        <f t="shared" si="3"/>
        <v>-1</v>
      </c>
      <c r="Q9">
        <f t="shared" si="4"/>
        <v>-1</v>
      </c>
      <c r="R9">
        <f t="shared" si="5"/>
        <v>-1</v>
      </c>
      <c r="S9">
        <f t="shared" si="6"/>
        <v>-1</v>
      </c>
      <c r="T9">
        <f t="shared" si="7"/>
        <v>-1</v>
      </c>
      <c r="U9">
        <f t="shared" si="8"/>
        <v>1</v>
      </c>
    </row>
    <row r="10" spans="1:21">
      <c r="A10" s="15" t="s">
        <v>89</v>
      </c>
      <c r="B10" s="15" t="s">
        <v>129</v>
      </c>
      <c r="C10" s="15">
        <f>SUMIF('В03 Пристрої'!$E$5:$E$25,A10,'В03 Пристрої'!$C$5:$C$25)</f>
        <v>0</v>
      </c>
      <c r="D10" s="15">
        <v>40</v>
      </c>
      <c r="E10" s="9"/>
      <c r="F10" s="9"/>
      <c r="G10" s="9"/>
      <c r="H10" s="9"/>
      <c r="I10" s="9"/>
      <c r="J10" s="9"/>
      <c r="K10" s="15" t="str">
        <f t="shared" si="0"/>
        <v/>
      </c>
      <c r="L10" s="15"/>
      <c r="N10">
        <f t="shared" si="1"/>
        <v>0</v>
      </c>
      <c r="O10" t="str">
        <f t="shared" si="2"/>
        <v/>
      </c>
      <c r="P10">
        <f t="shared" si="3"/>
        <v>-1</v>
      </c>
      <c r="Q10">
        <f t="shared" si="4"/>
        <v>-1</v>
      </c>
      <c r="R10">
        <f t="shared" si="5"/>
        <v>-1</v>
      </c>
      <c r="S10">
        <f t="shared" si="6"/>
        <v>-1</v>
      </c>
      <c r="T10">
        <f t="shared" si="7"/>
        <v>-1</v>
      </c>
      <c r="U10">
        <f t="shared" si="8"/>
        <v>1</v>
      </c>
    </row>
    <row r="11" spans="1:21">
      <c r="A11" s="15" t="s">
        <v>92</v>
      </c>
      <c r="B11" s="15" t="s">
        <v>132</v>
      </c>
      <c r="C11" s="15">
        <f>SUMIF('В03 Пристрої'!$E$5:$E$25,A11,'В03 Пристрої'!$C$5:$C$25)</f>
        <v>0</v>
      </c>
      <c r="D11" s="15">
        <v>20</v>
      </c>
      <c r="E11" s="9"/>
      <c r="F11" s="9"/>
      <c r="G11" s="9"/>
      <c r="H11" s="9"/>
      <c r="I11" s="9"/>
      <c r="J11" s="9"/>
      <c r="K11" s="15" t="str">
        <f t="shared" si="0"/>
        <v/>
      </c>
      <c r="L11" s="15"/>
      <c r="N11">
        <f t="shared" si="1"/>
        <v>0</v>
      </c>
      <c r="O11" t="str">
        <f t="shared" si="2"/>
        <v/>
      </c>
      <c r="P11">
        <f t="shared" si="3"/>
        <v>-1</v>
      </c>
      <c r="Q11">
        <f t="shared" si="4"/>
        <v>-1</v>
      </c>
      <c r="R11">
        <f t="shared" si="5"/>
        <v>-1</v>
      </c>
      <c r="S11">
        <f t="shared" si="6"/>
        <v>-1</v>
      </c>
      <c r="T11">
        <f t="shared" si="7"/>
        <v>-1</v>
      </c>
      <c r="U11">
        <f t="shared" si="8"/>
        <v>1</v>
      </c>
    </row>
    <row r="12" spans="1:21">
      <c r="A12" s="15" t="s">
        <v>146</v>
      </c>
      <c r="B12" s="9"/>
      <c r="C12" s="15">
        <f>SUMIF('В03 Пристрої'!$E$5:$E$25,A12,'В03 Пристрої'!$C$5:$C$25)</f>
        <v>0</v>
      </c>
      <c r="D12" s="9"/>
      <c r="E12" s="9"/>
      <c r="F12" s="9"/>
      <c r="G12" s="9"/>
      <c r="H12" s="9"/>
      <c r="I12" s="9"/>
      <c r="J12" s="9"/>
      <c r="K12" s="15" t="str">
        <f t="shared" si="0"/>
        <v/>
      </c>
      <c r="L12" s="15"/>
      <c r="N12">
        <f t="shared" si="1"/>
        <v>0</v>
      </c>
      <c r="O12" t="str">
        <f t="shared" si="2"/>
        <v/>
      </c>
      <c r="P12">
        <f t="shared" si="3"/>
        <v>-1</v>
      </c>
      <c r="Q12">
        <f t="shared" si="4"/>
        <v>-1</v>
      </c>
      <c r="R12">
        <f t="shared" si="5"/>
        <v>-1</v>
      </c>
      <c r="S12">
        <f t="shared" si="6"/>
        <v>-1</v>
      </c>
      <c r="T12">
        <f t="shared" si="7"/>
        <v>-1</v>
      </c>
      <c r="U12">
        <f t="shared" si="8"/>
        <v>1</v>
      </c>
    </row>
    <row r="13" spans="1:21">
      <c r="A13" s="15" t="s">
        <v>147</v>
      </c>
      <c r="B13" s="9"/>
      <c r="C13" s="15">
        <f>SUMIF('В03 Пристрої'!$E$5:$E$25,A13,'В03 Пристрої'!$C$5:$C$25)</f>
        <v>0</v>
      </c>
      <c r="D13" s="9"/>
      <c r="E13" s="9"/>
      <c r="F13" s="9"/>
      <c r="G13" s="9"/>
      <c r="H13" s="9"/>
      <c r="I13" s="9"/>
      <c r="J13" s="9"/>
      <c r="K13" s="15" t="str">
        <f t="shared" si="0"/>
        <v/>
      </c>
      <c r="L13" s="15"/>
      <c r="N13">
        <f t="shared" si="1"/>
        <v>0</v>
      </c>
      <c r="O13" t="str">
        <f t="shared" si="2"/>
        <v/>
      </c>
      <c r="P13">
        <f t="shared" si="3"/>
        <v>-1</v>
      </c>
      <c r="Q13">
        <f t="shared" si="4"/>
        <v>-1</v>
      </c>
      <c r="R13">
        <f t="shared" si="5"/>
        <v>-1</v>
      </c>
      <c r="S13">
        <f t="shared" si="6"/>
        <v>-1</v>
      </c>
      <c r="T13">
        <f t="shared" si="7"/>
        <v>-1</v>
      </c>
      <c r="U13">
        <f t="shared" si="8"/>
        <v>1</v>
      </c>
    </row>
    <row r="16" spans="1:21">
      <c r="B16" s="12" t="s">
        <v>148</v>
      </c>
    </row>
    <row r="17" spans="2:12">
      <c r="B17" s="6" t="s">
        <v>149</v>
      </c>
      <c r="C17" s="9"/>
    </row>
    <row r="18" spans="2:12">
      <c r="B18" s="6" t="s">
        <v>150</v>
      </c>
      <c r="C18" s="9"/>
    </row>
    <row r="20" spans="2:12" ht="25.5">
      <c r="B20" s="6" t="s">
        <v>151</v>
      </c>
      <c r="C20" s="9"/>
      <c r="L20" s="15" t="str">
        <f>IF(C20="","заповніть native VLAN",IF(NOT(AND(ISNUMBER(C20),C20&gt;=2,C20&lt;=254,C20=INT(C20))),"ціле число від 2 до 254",IF(COUNTIF($F$5:$F$13,C20)&gt;0,"native VLAN не має збігатися з VLAN зони",IF(AND(C17&lt;&gt;"",C18&lt;&gt;"",C20&gt;=C17,C20&lt;=C18),"native VLAN у зарезервованому діапазоні","ОК"))))</f>
        <v>заповніть native VLAN</v>
      </c>
    </row>
  </sheetData>
  <sheetProtection sheet="1" formatCells="0"/>
  <conditionalFormatting sqref="L5:L13">
    <cfRule type="expression" dxfId="61" priority="1">
      <formula>L5="ОК"</formula>
    </cfRule>
    <cfRule type="expression" dxfId="60" priority="2">
      <formula>AND(L5&lt;&gt;"",L5&lt;&gt;"ОК")</formula>
    </cfRule>
  </conditionalFormatting>
  <conditionalFormatting sqref="L20">
    <cfRule type="expression" dxfId="59" priority="3">
      <formula>L20="ОК"</formula>
    </cfRule>
    <cfRule type="expression" dxfId="58" priority="4">
      <formula>L20&lt;&gt;"ОК"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55A11"/>
  </sheetPr>
  <dimension ref="A1:B11"/>
  <sheetViews>
    <sheetView workbookViewId="0"/>
  </sheetViews>
  <sheetFormatPr defaultRowHeight="15"/>
  <cols>
    <col min="1" max="1" width="66" customWidth="1"/>
    <col min="2" max="2" width="22" customWidth="1"/>
  </cols>
  <sheetData>
    <row r="1" spans="1:2" ht="19.5">
      <c r="A1" s="3" t="s">
        <v>152</v>
      </c>
    </row>
    <row r="2" spans="1:2">
      <c r="A2" s="4" t="s">
        <v>153</v>
      </c>
    </row>
    <row r="4" spans="1:2">
      <c r="A4" s="15" t="s">
        <v>154</v>
      </c>
      <c r="B4" s="15">
        <f>SUM('В03 Пристрої'!C5:C25)</f>
        <v>138</v>
      </c>
    </row>
    <row r="5" spans="1:2">
      <c r="A5" s="15" t="s">
        <v>155</v>
      </c>
      <c r="B5" s="15">
        <f>COUNTIFS('В03 Пристрої'!C5:C25,"&gt;0",'В03 Пристрої'!E5:E25,"")</f>
        <v>16</v>
      </c>
    </row>
    <row r="6" spans="1:2">
      <c r="A6" s="15" t="s">
        <v>156</v>
      </c>
      <c r="B6" s="15">
        <f>COUNTIF('В03 Пристрої'!F5:F25,"тип*")</f>
        <v>0</v>
      </c>
    </row>
    <row r="7" spans="1:2">
      <c r="A7" s="15" t="s">
        <v>157</v>
      </c>
      <c r="B7" s="15">
        <f>COUNTIFS('В03 Зони й адреси'!L5:L13,"&lt;&gt;ОК",'В03 Зони й адреси'!C5:C13,"&gt;0")</f>
        <v>0</v>
      </c>
    </row>
    <row r="8" spans="1:2">
      <c r="A8" s="15" t="s">
        <v>158</v>
      </c>
      <c r="B8" s="15">
        <f>IF('В03 Зони й адреси'!L20="ОК",0,1)</f>
        <v>1</v>
      </c>
    </row>
    <row r="9" spans="1:2">
      <c r="A9" s="15" t="s">
        <v>159</v>
      </c>
      <c r="B9" s="15">
        <f>MAX(0,COUNTIF('В03 Пристрої'!D5:D25,"потребує рішення")-COUNTA('В03 Обґрунтування'!C5:C12))</f>
        <v>2</v>
      </c>
    </row>
    <row r="10" spans="1:2">
      <c r="A10" s="15" t="s">
        <v>160</v>
      </c>
      <c r="B10" s="15">
        <f>COUNTA('В03 Чернетка колеги'!A15:A17)</f>
        <v>0</v>
      </c>
    </row>
    <row r="11" spans="1:2">
      <c r="A11" s="15" t="s">
        <v>161</v>
      </c>
      <c r="B11" s="15" t="str">
        <f>IF(AND(B5=0,B6=0,B7=0,B8=0,B9=0,B10&gt;=3),"Можна здавати","Є що виправити")</f>
        <v>Є що виправити</v>
      </c>
    </row>
  </sheetData>
  <sheetProtection sheet="1" formatCells="0"/>
  <conditionalFormatting sqref="B11">
    <cfRule type="expression" dxfId="57" priority="1">
      <formula>B11="Можна здавати"</formula>
    </cfRule>
    <cfRule type="expression" dxfId="56" priority="2">
      <formula>B11&lt;&gt;"Можна здавати"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55A11"/>
  </sheetPr>
  <dimension ref="A1:C23"/>
  <sheetViews>
    <sheetView workbookViewId="0"/>
  </sheetViews>
  <sheetFormatPr defaultRowHeight="15"/>
  <cols>
    <col min="1" max="1" width="40" customWidth="1"/>
    <col min="2" max="2" width="14" customWidth="1"/>
    <col min="3" max="3" width="100" customWidth="1"/>
  </cols>
  <sheetData>
    <row r="1" spans="1:3" ht="19.5">
      <c r="A1" s="3" t="s">
        <v>162</v>
      </c>
    </row>
    <row r="2" spans="1:3">
      <c r="A2" s="4" t="s">
        <v>163</v>
      </c>
    </row>
    <row r="4" spans="1:3" ht="30" customHeight="1">
      <c r="A4" s="13" t="s">
        <v>164</v>
      </c>
      <c r="B4" s="13" t="s">
        <v>71</v>
      </c>
      <c r="C4" s="13" t="s">
        <v>165</v>
      </c>
    </row>
    <row r="5" spans="1:3">
      <c r="A5" s="15" t="s">
        <v>196</v>
      </c>
      <c r="B5" s="9"/>
      <c r="C5" s="9"/>
    </row>
    <row r="6" spans="1:3" ht="25.5">
      <c r="A6" s="15" t="s">
        <v>197</v>
      </c>
      <c r="B6" s="9"/>
      <c r="C6" s="9"/>
    </row>
    <row r="7" spans="1:3">
      <c r="A7" s="9"/>
      <c r="B7" s="9"/>
      <c r="C7" s="9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9"/>
      <c r="B12" s="9"/>
      <c r="C12" s="9"/>
    </row>
    <row r="15" spans="1:3">
      <c r="A15" s="26" t="s">
        <v>166</v>
      </c>
      <c r="B15" s="21"/>
      <c r="C15" s="21"/>
    </row>
    <row r="16" spans="1:3" ht="39.950000000000003" customHeight="1">
      <c r="A16" s="19"/>
      <c r="B16" s="27"/>
      <c r="C16" s="28"/>
    </row>
    <row r="17" spans="1:3">
      <c r="A17" s="29"/>
      <c r="B17" s="30"/>
      <c r="C17" s="31"/>
    </row>
    <row r="18" spans="1:3">
      <c r="A18" s="26" t="s">
        <v>167</v>
      </c>
      <c r="B18" s="21"/>
      <c r="C18" s="21"/>
    </row>
    <row r="19" spans="1:3" ht="39.950000000000003" customHeight="1">
      <c r="A19" s="19"/>
      <c r="B19" s="27"/>
      <c r="C19" s="28"/>
    </row>
    <row r="20" spans="1:3">
      <c r="A20" s="29"/>
      <c r="B20" s="30"/>
      <c r="C20" s="31"/>
    </row>
    <row r="21" spans="1:3">
      <c r="A21" s="26" t="s">
        <v>168</v>
      </c>
      <c r="B21" s="21"/>
      <c r="C21" s="21"/>
    </row>
    <row r="22" spans="1:3" ht="39.950000000000003" customHeight="1">
      <c r="A22" s="19"/>
      <c r="B22" s="27"/>
      <c r="C22" s="28"/>
    </row>
    <row r="23" spans="1:3">
      <c r="A23" s="29"/>
      <c r="B23" s="30"/>
      <c r="C23" s="31"/>
    </row>
  </sheetData>
  <sheetProtection sheet="1" formatCells="0"/>
  <mergeCells count="6">
    <mergeCell ref="A15:C15"/>
    <mergeCell ref="A16:C17"/>
    <mergeCell ref="A19:C20"/>
    <mergeCell ref="A18:C18"/>
    <mergeCell ref="A22:C23"/>
    <mergeCell ref="A21:C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48235"/>
  </sheetPr>
  <dimension ref="A1:B16"/>
  <sheetViews>
    <sheetView workbookViewId="0"/>
  </sheetViews>
  <sheetFormatPr defaultRowHeight="15"/>
  <cols>
    <col min="1" max="1" width="26" customWidth="1"/>
    <col min="2" max="2" width="104" customWidth="1"/>
  </cols>
  <sheetData>
    <row r="1" spans="1:2" ht="19.5">
      <c r="A1" s="3" t="s">
        <v>210</v>
      </c>
    </row>
    <row r="2" spans="1:2">
      <c r="A2" s="4" t="s">
        <v>25</v>
      </c>
    </row>
    <row r="4" spans="1:2">
      <c r="A4" s="5" t="s">
        <v>26</v>
      </c>
      <c r="B4" s="6"/>
    </row>
    <row r="5" spans="1:2" ht="25.5">
      <c r="A5" s="7" t="s">
        <v>27</v>
      </c>
      <c r="B5" s="6" t="s">
        <v>28</v>
      </c>
    </row>
    <row r="6" spans="1:2" ht="25.5">
      <c r="A6" s="7" t="s">
        <v>29</v>
      </c>
      <c r="B6" s="6" t="s">
        <v>30</v>
      </c>
    </row>
    <row r="7" spans="1:2" ht="25.5">
      <c r="A7" s="7" t="s">
        <v>31</v>
      </c>
      <c r="B7" s="6" t="s">
        <v>32</v>
      </c>
    </row>
    <row r="8" spans="1:2">
      <c r="A8" s="7" t="s">
        <v>33</v>
      </c>
      <c r="B8" s="6" t="s">
        <v>34</v>
      </c>
    </row>
    <row r="9" spans="1:2" ht="25.5">
      <c r="A9" s="7" t="s">
        <v>35</v>
      </c>
      <c r="B9" s="6" t="s">
        <v>36</v>
      </c>
    </row>
    <row r="10" spans="1:2">
      <c r="A10" s="7" t="s">
        <v>37</v>
      </c>
      <c r="B10" s="6" t="s">
        <v>38</v>
      </c>
    </row>
    <row r="11" spans="1:2">
      <c r="A11" s="7"/>
      <c r="B11" s="6"/>
    </row>
    <row r="12" spans="1:2">
      <c r="A12" s="7" t="s">
        <v>39</v>
      </c>
      <c r="B12" s="6" t="s">
        <v>40</v>
      </c>
    </row>
    <row r="13" spans="1:2">
      <c r="A13" s="7" t="s">
        <v>41</v>
      </c>
      <c r="B13" s="6" t="s">
        <v>42</v>
      </c>
    </row>
    <row r="14" spans="1:2" ht="25.5">
      <c r="A14" s="7" t="s">
        <v>43</v>
      </c>
      <c r="B14" s="6" t="s">
        <v>44</v>
      </c>
    </row>
    <row r="15" spans="1:2" ht="25.5">
      <c r="A15" s="7" t="s">
        <v>45</v>
      </c>
      <c r="B15" s="6" t="s">
        <v>46</v>
      </c>
    </row>
    <row r="16" spans="1:2">
      <c r="A16" s="7" t="s">
        <v>47</v>
      </c>
      <c r="B16" s="6" t="s">
        <v>48</v>
      </c>
    </row>
  </sheetData>
  <sheetProtection sheet="1" formatCells="0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548235"/>
  </sheetPr>
  <dimension ref="A1:B13"/>
  <sheetViews>
    <sheetView workbookViewId="0"/>
  </sheetViews>
  <sheetFormatPr defaultRowHeight="15"/>
  <cols>
    <col min="1" max="1" width="36" customWidth="1"/>
    <col min="2" max="2" width="70" customWidth="1"/>
  </cols>
  <sheetData>
    <row r="1" spans="1:2" ht="19.5">
      <c r="A1" s="3" t="s">
        <v>211</v>
      </c>
    </row>
    <row r="3" spans="1:2">
      <c r="A3" s="8" t="s">
        <v>50</v>
      </c>
      <c r="B3" s="9"/>
    </row>
    <row r="4" spans="1:2">
      <c r="A4" s="8" t="s">
        <v>51</v>
      </c>
      <c r="B4" s="10" t="s">
        <v>212</v>
      </c>
    </row>
    <row r="5" spans="1:2">
      <c r="A5" s="8" t="s">
        <v>53</v>
      </c>
      <c r="B5" s="10">
        <v>197</v>
      </c>
    </row>
    <row r="6" spans="1:2">
      <c r="A6" s="8" t="s">
        <v>54</v>
      </c>
      <c r="B6" s="10" t="s">
        <v>172</v>
      </c>
    </row>
    <row r="7" spans="1:2" ht="25.5">
      <c r="A7" s="8" t="s">
        <v>56</v>
      </c>
      <c r="B7" s="10" t="s">
        <v>213</v>
      </c>
    </row>
    <row r="8" spans="1:2" ht="25.5">
      <c r="A8" s="8" t="s">
        <v>58</v>
      </c>
      <c r="B8" s="10" t="s">
        <v>214</v>
      </c>
    </row>
    <row r="10" spans="1:2" ht="15.75">
      <c r="A10" s="11" t="s">
        <v>60</v>
      </c>
    </row>
    <row r="11" spans="1:2">
      <c r="A11" s="18" t="s">
        <v>61</v>
      </c>
      <c r="B11" s="21"/>
    </row>
    <row r="12" spans="1:2">
      <c r="A12" s="21"/>
      <c r="B12" s="21"/>
    </row>
    <row r="13" spans="1:2">
      <c r="A13" s="21"/>
      <c r="B13" s="21"/>
    </row>
  </sheetData>
  <sheetProtection sheet="1" formatCells="0"/>
  <mergeCells count="1">
    <mergeCell ref="A11:B1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548235"/>
  </sheetPr>
  <dimension ref="A1:I25"/>
  <sheetViews>
    <sheetView workbookViewId="0"/>
  </sheetViews>
  <sheetFormatPr defaultRowHeight="15"/>
  <cols>
    <col min="1" max="1" width="5" customWidth="1"/>
    <col min="2" max="2" width="56" customWidth="1"/>
    <col min="3" max="3" width="11" customWidth="1"/>
    <col min="4" max="4" width="24" customWidth="1"/>
    <col min="5" max="5" width="16" customWidth="1"/>
    <col min="6" max="6" width="40" customWidth="1"/>
    <col min="7" max="7" width="3" customWidth="1"/>
    <col min="8" max="8" width="24" customWidth="1"/>
    <col min="9" max="9" width="14" customWidth="1"/>
  </cols>
  <sheetData>
    <row r="1" spans="1:9" ht="19.5">
      <c r="A1" s="3" t="s">
        <v>62</v>
      </c>
    </row>
    <row r="2" spans="1:9">
      <c r="A2" s="4" t="s">
        <v>63</v>
      </c>
    </row>
    <row r="3" spans="1:9">
      <c r="H3" s="12" t="s">
        <v>64</v>
      </c>
    </row>
    <row r="4" spans="1:9" ht="39.950000000000003" customHeight="1">
      <c r="A4" s="13" t="s">
        <v>65</v>
      </c>
      <c r="B4" s="13" t="s">
        <v>66</v>
      </c>
      <c r="C4" s="13" t="s">
        <v>67</v>
      </c>
      <c r="D4" s="13" t="s">
        <v>68</v>
      </c>
      <c r="E4" s="13" t="s">
        <v>69</v>
      </c>
      <c r="F4" s="13" t="s">
        <v>70</v>
      </c>
      <c r="H4" s="14" t="s">
        <v>68</v>
      </c>
      <c r="I4" s="14" t="s">
        <v>71</v>
      </c>
    </row>
    <row r="5" spans="1:9">
      <c r="A5" s="15">
        <v>1</v>
      </c>
      <c r="B5" s="15" t="s">
        <v>72</v>
      </c>
      <c r="C5" s="15">
        <v>3</v>
      </c>
      <c r="D5" s="15" t="s">
        <v>73</v>
      </c>
      <c r="E5" s="9"/>
      <c r="F5" s="15" t="str">
        <f t="shared" ref="F5:F25" si="0">IF(C5="","",IF(D5="","вкажіть тип",IF(E5="","призначте зону",IF(D5="потребує рішення","рішення поясніть на аркуші «Обґрунтування»",IF(IFERROR(VLOOKUP(D5,$H$5:$I$11,2,FALSE),"?")=E5,"ОК","тип пристрою не відповідає зоні")))))</f>
        <v>призначте зону</v>
      </c>
      <c r="H5" s="15" t="s">
        <v>73</v>
      </c>
      <c r="I5" s="15" t="s">
        <v>74</v>
      </c>
    </row>
    <row r="6" spans="1:9">
      <c r="A6" s="15">
        <v>2</v>
      </c>
      <c r="B6" s="15" t="s">
        <v>75</v>
      </c>
      <c r="C6" s="15">
        <v>2</v>
      </c>
      <c r="D6" s="15" t="s">
        <v>73</v>
      </c>
      <c r="E6" s="9"/>
      <c r="F6" s="15" t="str">
        <f t="shared" si="0"/>
        <v>призначте зону</v>
      </c>
      <c r="H6" s="15" t="s">
        <v>76</v>
      </c>
      <c r="I6" s="15" t="s">
        <v>77</v>
      </c>
    </row>
    <row r="7" spans="1:9">
      <c r="A7" s="15">
        <v>3</v>
      </c>
      <c r="B7" s="15" t="s">
        <v>78</v>
      </c>
      <c r="C7" s="15">
        <v>3</v>
      </c>
      <c r="D7" s="15" t="s">
        <v>76</v>
      </c>
      <c r="E7" s="9"/>
      <c r="F7" s="15" t="str">
        <f t="shared" si="0"/>
        <v>призначте зону</v>
      </c>
      <c r="H7" s="15" t="s">
        <v>79</v>
      </c>
      <c r="I7" s="15" t="s">
        <v>80</v>
      </c>
    </row>
    <row r="8" spans="1:9">
      <c r="A8" s="15">
        <v>4</v>
      </c>
      <c r="B8" s="15" t="s">
        <v>81</v>
      </c>
      <c r="C8" s="15">
        <v>2</v>
      </c>
      <c r="D8" s="15" t="s">
        <v>79</v>
      </c>
      <c r="E8" s="9"/>
      <c r="F8" s="15" t="str">
        <f t="shared" si="0"/>
        <v>призначте зону</v>
      </c>
      <c r="H8" s="15" t="s">
        <v>82</v>
      </c>
      <c r="I8" s="15" t="s">
        <v>83</v>
      </c>
    </row>
    <row r="9" spans="1:9">
      <c r="A9" s="15">
        <v>5</v>
      </c>
      <c r="B9" s="15" t="s">
        <v>84</v>
      </c>
      <c r="C9" s="15">
        <v>2</v>
      </c>
      <c r="D9" s="15" t="s">
        <v>82</v>
      </c>
      <c r="E9" s="9"/>
      <c r="F9" s="15" t="str">
        <f t="shared" si="0"/>
        <v>призначте зону</v>
      </c>
      <c r="H9" s="15" t="s">
        <v>85</v>
      </c>
      <c r="I9" s="15" t="s">
        <v>86</v>
      </c>
    </row>
    <row r="10" spans="1:9">
      <c r="A10" s="15">
        <v>6</v>
      </c>
      <c r="B10" s="15" t="s">
        <v>87</v>
      </c>
      <c r="C10" s="15">
        <v>5</v>
      </c>
      <c r="D10" s="15" t="s">
        <v>82</v>
      </c>
      <c r="E10" s="9"/>
      <c r="F10" s="15" t="str">
        <f t="shared" si="0"/>
        <v>призначте зону</v>
      </c>
      <c r="H10" s="15" t="s">
        <v>88</v>
      </c>
      <c r="I10" s="15" t="s">
        <v>89</v>
      </c>
    </row>
    <row r="11" spans="1:9">
      <c r="A11" s="15">
        <v>7</v>
      </c>
      <c r="B11" s="15" t="s">
        <v>90</v>
      </c>
      <c r="C11" s="15">
        <v>6</v>
      </c>
      <c r="D11" s="15" t="s">
        <v>85</v>
      </c>
      <c r="E11" s="9"/>
      <c r="F11" s="15" t="str">
        <f t="shared" si="0"/>
        <v>призначте зону</v>
      </c>
      <c r="H11" s="15" t="s">
        <v>91</v>
      </c>
      <c r="I11" s="15" t="s">
        <v>92</v>
      </c>
    </row>
    <row r="12" spans="1:9">
      <c r="A12" s="15">
        <v>8</v>
      </c>
      <c r="B12" s="15" t="s">
        <v>93</v>
      </c>
      <c r="C12" s="15">
        <v>2</v>
      </c>
      <c r="D12" s="15" t="s">
        <v>85</v>
      </c>
      <c r="E12" s="9"/>
      <c r="F12" s="15" t="str">
        <f t="shared" si="0"/>
        <v>призначте зону</v>
      </c>
      <c r="H12" s="16" t="s">
        <v>94</v>
      </c>
    </row>
    <row r="13" spans="1:9">
      <c r="A13" s="15">
        <v>9</v>
      </c>
      <c r="B13" s="15" t="s">
        <v>95</v>
      </c>
      <c r="C13" s="15">
        <v>3</v>
      </c>
      <c r="D13" s="15" t="s">
        <v>85</v>
      </c>
      <c r="E13" s="9"/>
      <c r="F13" s="15" t="str">
        <f t="shared" si="0"/>
        <v>призначте зону</v>
      </c>
    </row>
    <row r="14" spans="1:9">
      <c r="A14" s="15">
        <v>10</v>
      </c>
      <c r="B14" s="15" t="s">
        <v>96</v>
      </c>
      <c r="C14" s="15">
        <v>25</v>
      </c>
      <c r="D14" s="15" t="s">
        <v>88</v>
      </c>
      <c r="E14" s="9"/>
      <c r="F14" s="15" t="str">
        <f t="shared" si="0"/>
        <v>призначте зону</v>
      </c>
    </row>
    <row r="15" spans="1:9">
      <c r="A15" s="15">
        <v>11</v>
      </c>
      <c r="B15" s="15" t="s">
        <v>97</v>
      </c>
      <c r="C15" s="15">
        <v>1</v>
      </c>
      <c r="D15" s="15" t="s">
        <v>91</v>
      </c>
      <c r="E15" s="9"/>
      <c r="F15" s="15" t="str">
        <f t="shared" si="0"/>
        <v>призначте зону</v>
      </c>
    </row>
    <row r="16" spans="1:9">
      <c r="A16" s="15">
        <v>12</v>
      </c>
      <c r="B16" s="15" t="s">
        <v>98</v>
      </c>
      <c r="C16" s="15">
        <v>1</v>
      </c>
      <c r="D16" s="15" t="s">
        <v>91</v>
      </c>
      <c r="E16" s="9"/>
      <c r="F16" s="15" t="str">
        <f t="shared" si="0"/>
        <v>призначте зону</v>
      </c>
    </row>
    <row r="17" spans="1:6">
      <c r="A17" s="15">
        <v>13</v>
      </c>
      <c r="B17" s="15" t="s">
        <v>99</v>
      </c>
      <c r="C17" s="15">
        <v>2</v>
      </c>
      <c r="D17" s="15" t="s">
        <v>91</v>
      </c>
      <c r="E17" s="9"/>
      <c r="F17" s="15" t="str">
        <f t="shared" si="0"/>
        <v>призначте зону</v>
      </c>
    </row>
    <row r="18" spans="1:6">
      <c r="A18" s="15">
        <v>14</v>
      </c>
      <c r="B18" s="15" t="s">
        <v>100</v>
      </c>
      <c r="C18" s="15">
        <v>1</v>
      </c>
      <c r="D18" s="15" t="s">
        <v>91</v>
      </c>
      <c r="E18" s="9"/>
      <c r="F18" s="15" t="str">
        <f t="shared" si="0"/>
        <v>призначте зону</v>
      </c>
    </row>
    <row r="19" spans="1:6">
      <c r="A19" s="15">
        <v>15</v>
      </c>
      <c r="B19" s="15" t="s">
        <v>215</v>
      </c>
      <c r="C19" s="15">
        <v>3</v>
      </c>
      <c r="D19" s="15" t="s">
        <v>102</v>
      </c>
      <c r="E19" s="9"/>
      <c r="F19" s="15" t="str">
        <f t="shared" si="0"/>
        <v>призначте зону</v>
      </c>
    </row>
    <row r="20" spans="1:6">
      <c r="A20" s="15">
        <v>16</v>
      </c>
      <c r="B20" s="15" t="s">
        <v>216</v>
      </c>
      <c r="C20" s="15">
        <v>2</v>
      </c>
      <c r="D20" s="15" t="s">
        <v>102</v>
      </c>
      <c r="E20" s="9"/>
      <c r="F20" s="15" t="str">
        <f t="shared" si="0"/>
        <v>призначте зону</v>
      </c>
    </row>
    <row r="21" spans="1:6">
      <c r="A21" s="17">
        <v>17</v>
      </c>
      <c r="B21" s="9"/>
      <c r="C21" s="9"/>
      <c r="D21" s="9"/>
      <c r="E21" s="9"/>
      <c r="F21" s="15" t="str">
        <f t="shared" si="0"/>
        <v/>
      </c>
    </row>
    <row r="22" spans="1:6">
      <c r="A22" s="17">
        <v>18</v>
      </c>
      <c r="B22" s="9"/>
      <c r="C22" s="9"/>
      <c r="D22" s="9"/>
      <c r="E22" s="9"/>
      <c r="F22" s="15" t="str">
        <f t="shared" si="0"/>
        <v/>
      </c>
    </row>
    <row r="23" spans="1:6">
      <c r="A23" s="17">
        <v>19</v>
      </c>
      <c r="B23" s="9"/>
      <c r="C23" s="9"/>
      <c r="D23" s="9"/>
      <c r="E23" s="9"/>
      <c r="F23" s="15" t="str">
        <f t="shared" si="0"/>
        <v/>
      </c>
    </row>
    <row r="24" spans="1:6">
      <c r="A24" s="17">
        <v>20</v>
      </c>
      <c r="B24" s="9"/>
      <c r="C24" s="9"/>
      <c r="D24" s="9"/>
      <c r="E24" s="9"/>
      <c r="F24" s="15" t="str">
        <f t="shared" si="0"/>
        <v/>
      </c>
    </row>
    <row r="25" spans="1:6">
      <c r="A25" s="17">
        <v>21</v>
      </c>
      <c r="B25" s="9"/>
      <c r="C25" s="9"/>
      <c r="D25" s="9"/>
      <c r="E25" s="9"/>
      <c r="F25" s="15" t="str">
        <f t="shared" si="0"/>
        <v/>
      </c>
    </row>
  </sheetData>
  <sheetProtection sheet="1" formatCells="0"/>
  <conditionalFormatting sqref="F5:F25">
    <cfRule type="expression" dxfId="55" priority="1">
      <formula>F5="ОК"</formula>
    </cfRule>
    <cfRule type="expression" dxfId="54" priority="2">
      <formula>OR(LEFT(F5,3)="тип",F5="призначте зону",F5="вкажіть тип")</formula>
    </cfRule>
  </conditionalFormatting>
  <dataValidations count="2">
    <dataValidation type="list" allowBlank="1" sqref="E5:E25" xr:uid="{00000000-0002-0000-1800-000000000000}">
      <formula1>"KASA,MANAGERS,ABS,ATM_POS,IOT,GUEST,MGMT,NEW1,NEW2"</formula1>
    </dataValidation>
    <dataValidation type="list" allowBlank="1" sqref="D21:D25" xr:uid="{00000000-0002-0000-1800-000001000000}">
      <formula1>"каса,менеджер,АБС,платіжний пристрій,без користувача,клієнтські пристрої,мережеве обладнання,потребує рішення"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548235"/>
  </sheetPr>
  <dimension ref="A1:G17"/>
  <sheetViews>
    <sheetView workbookViewId="0"/>
  </sheetViews>
  <sheetFormatPr defaultRowHeight="15"/>
  <cols>
    <col min="1" max="1" width="6" customWidth="1"/>
    <col min="2" max="2" width="26" customWidth="1"/>
    <col min="3" max="3" width="14" customWidth="1"/>
    <col min="4" max="4" width="9" customWidth="1"/>
    <col min="5" max="5" width="20" customWidth="1"/>
    <col min="6" max="6" width="10" customWidth="1"/>
    <col min="7" max="7" width="20" customWidth="1"/>
  </cols>
  <sheetData>
    <row r="1" spans="1:7" ht="19.5">
      <c r="A1" s="3" t="s">
        <v>104</v>
      </c>
    </row>
    <row r="2" spans="1:7">
      <c r="A2" s="4" t="s">
        <v>105</v>
      </c>
    </row>
    <row r="4" spans="1:7" ht="39.950000000000003" customHeight="1">
      <c r="A4" s="13" t="s">
        <v>65</v>
      </c>
      <c r="B4" s="13" t="s">
        <v>71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47</v>
      </c>
    </row>
    <row r="5" spans="1:7">
      <c r="A5" s="15">
        <v>1</v>
      </c>
      <c r="B5" s="15" t="s">
        <v>110</v>
      </c>
      <c r="C5" s="15">
        <v>8</v>
      </c>
      <c r="D5" s="15">
        <v>110</v>
      </c>
      <c r="E5" s="15" t="s">
        <v>217</v>
      </c>
      <c r="F5" s="15" t="s">
        <v>116</v>
      </c>
      <c r="G5" s="15" t="s">
        <v>218</v>
      </c>
    </row>
    <row r="6" spans="1:7">
      <c r="A6" s="15">
        <v>2</v>
      </c>
      <c r="B6" s="15" t="s">
        <v>114</v>
      </c>
      <c r="C6" s="15">
        <v>9</v>
      </c>
      <c r="D6" s="15">
        <v>120</v>
      </c>
      <c r="E6" s="15" t="s">
        <v>219</v>
      </c>
      <c r="F6" s="15" t="s">
        <v>112</v>
      </c>
      <c r="G6" s="15" t="s">
        <v>220</v>
      </c>
    </row>
    <row r="7" spans="1:7">
      <c r="A7" s="15">
        <v>3</v>
      </c>
      <c r="B7" s="15" t="s">
        <v>118</v>
      </c>
      <c r="C7" s="15">
        <v>4</v>
      </c>
      <c r="D7" s="15">
        <v>1</v>
      </c>
      <c r="E7" s="15" t="s">
        <v>221</v>
      </c>
      <c r="F7" s="15" t="s">
        <v>116</v>
      </c>
      <c r="G7" s="15" t="s">
        <v>222</v>
      </c>
    </row>
    <row r="8" spans="1:7">
      <c r="A8" s="15">
        <v>4</v>
      </c>
      <c r="B8" s="15" t="s">
        <v>122</v>
      </c>
      <c r="C8" s="15">
        <v>11</v>
      </c>
      <c r="D8" s="15">
        <v>140</v>
      </c>
      <c r="E8" s="15" t="s">
        <v>223</v>
      </c>
      <c r="F8" s="15" t="s">
        <v>112</v>
      </c>
      <c r="G8" s="15" t="s">
        <v>224</v>
      </c>
    </row>
    <row r="9" spans="1:7">
      <c r="A9" s="15">
        <v>5</v>
      </c>
      <c r="B9" s="15" t="s">
        <v>125</v>
      </c>
      <c r="C9" s="15">
        <v>23</v>
      </c>
      <c r="D9" s="15">
        <v>150</v>
      </c>
      <c r="E9" s="15" t="s">
        <v>225</v>
      </c>
      <c r="F9" s="15" t="s">
        <v>184</v>
      </c>
      <c r="G9" s="15" t="s">
        <v>226</v>
      </c>
    </row>
    <row r="10" spans="1:7">
      <c r="A10" s="15">
        <v>6</v>
      </c>
      <c r="B10" s="15" t="s">
        <v>129</v>
      </c>
      <c r="C10" s="15">
        <v>51</v>
      </c>
      <c r="D10" s="15">
        <v>160</v>
      </c>
      <c r="E10" s="15" t="s">
        <v>227</v>
      </c>
      <c r="F10" s="15" t="s">
        <v>127</v>
      </c>
      <c r="G10" s="15" t="s">
        <v>228</v>
      </c>
    </row>
    <row r="11" spans="1:7">
      <c r="A11" s="15">
        <v>7</v>
      </c>
      <c r="B11" s="15" t="s">
        <v>132</v>
      </c>
      <c r="C11" s="15">
        <v>12</v>
      </c>
      <c r="D11" s="15">
        <v>170</v>
      </c>
      <c r="E11" s="15" t="s">
        <v>229</v>
      </c>
      <c r="F11" s="15" t="s">
        <v>112</v>
      </c>
      <c r="G11" s="15" t="s">
        <v>230</v>
      </c>
    </row>
    <row r="13" spans="1:7" ht="15.75">
      <c r="A13" s="11" t="s">
        <v>133</v>
      </c>
    </row>
    <row r="14" spans="1:7" ht="27.95" customHeight="1">
      <c r="A14" s="13" t="s">
        <v>134</v>
      </c>
      <c r="B14" s="13" t="s">
        <v>135</v>
      </c>
      <c r="C14" s="20" t="s">
        <v>136</v>
      </c>
      <c r="D14" s="22"/>
      <c r="E14" s="22"/>
      <c r="F14" s="22"/>
      <c r="G14" s="23"/>
    </row>
    <row r="15" spans="1:7">
      <c r="A15" s="9"/>
      <c r="B15" s="9"/>
      <c r="C15" s="19"/>
      <c r="D15" s="24"/>
      <c r="E15" s="24"/>
      <c r="F15" s="24"/>
      <c r="G15" s="25"/>
    </row>
    <row r="16" spans="1:7">
      <c r="A16" s="9"/>
      <c r="B16" s="9"/>
      <c r="C16" s="19"/>
      <c r="D16" s="24"/>
      <c r="E16" s="24"/>
      <c r="F16" s="24"/>
      <c r="G16" s="25"/>
    </row>
    <row r="17" spans="1:7">
      <c r="A17" s="9"/>
      <c r="B17" s="9"/>
      <c r="C17" s="19"/>
      <c r="D17" s="24"/>
      <c r="E17" s="24"/>
      <c r="F17" s="24"/>
      <c r="G17" s="25"/>
    </row>
  </sheetData>
  <sheetProtection sheet="1" formatCells="0"/>
  <mergeCells count="4">
    <mergeCell ref="C16:G16"/>
    <mergeCell ref="C15:G15"/>
    <mergeCell ref="C17:G17"/>
    <mergeCell ref="C14:G1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548235"/>
  </sheetPr>
  <dimension ref="A1:U20"/>
  <sheetViews>
    <sheetView workbookViewId="0"/>
  </sheetViews>
  <sheetFormatPr defaultRowHeight="15"/>
  <cols>
    <col min="1" max="1" width="11" customWidth="1"/>
    <col min="2" max="2" width="22" customWidth="1"/>
    <col min="3" max="3" width="10" customWidth="1"/>
    <col min="4" max="4" width="11" customWidth="1"/>
    <col min="5" max="5" width="13" customWidth="1"/>
    <col min="6" max="6" width="8" customWidth="1"/>
    <col min="7" max="8" width="16" customWidth="1"/>
    <col min="9" max="9" width="9" customWidth="1"/>
    <col min="10" max="10" width="16" customWidth="1"/>
    <col min="11" max="11" width="10" customWidth="1"/>
    <col min="12" max="12" width="56" customWidth="1"/>
    <col min="14" max="21" width="13" hidden="1" customWidth="1"/>
  </cols>
  <sheetData>
    <row r="1" spans="1:21" ht="19.5">
      <c r="A1" s="3" t="s">
        <v>137</v>
      </c>
    </row>
    <row r="2" spans="1:21">
      <c r="A2" s="4" t="s">
        <v>138</v>
      </c>
    </row>
    <row r="4" spans="1:21" ht="54" customHeight="1">
      <c r="A4" s="13" t="s">
        <v>139</v>
      </c>
      <c r="B4" s="13" t="s">
        <v>140</v>
      </c>
      <c r="C4" s="13" t="s">
        <v>141</v>
      </c>
      <c r="D4" s="13" t="s">
        <v>58</v>
      </c>
      <c r="E4" s="13" t="s">
        <v>142</v>
      </c>
      <c r="F4" s="13" t="s">
        <v>107</v>
      </c>
      <c r="G4" s="13" t="s">
        <v>143</v>
      </c>
      <c r="H4" s="13" t="s">
        <v>108</v>
      </c>
      <c r="I4" s="13" t="s">
        <v>144</v>
      </c>
      <c r="J4" s="13" t="s">
        <v>47</v>
      </c>
      <c r="K4" s="13" t="s">
        <v>145</v>
      </c>
      <c r="L4" s="13" t="s">
        <v>70</v>
      </c>
    </row>
    <row r="5" spans="1:21">
      <c r="A5" s="15" t="s">
        <v>74</v>
      </c>
      <c r="B5" s="15" t="s">
        <v>110</v>
      </c>
      <c r="C5" s="15">
        <f>SUMIF('В04 Пристрої'!$E$5:$E$25,A5,'В04 Пристрої'!$C$5:$C$25)</f>
        <v>0</v>
      </c>
      <c r="D5" s="15">
        <v>30</v>
      </c>
      <c r="E5" s="9"/>
      <c r="F5" s="9"/>
      <c r="G5" s="9"/>
      <c r="H5" s="9"/>
      <c r="I5" s="9"/>
      <c r="J5" s="9"/>
      <c r="K5" s="15" t="str">
        <f t="shared" ref="K5:K13" si="0">IF(OR(I5="",NOT(ISNUMBER(I5))),"",2^(32-I5)-2)</f>
        <v/>
      </c>
      <c r="L5" s="15"/>
      <c r="N5">
        <f t="shared" ref="N5:N13" si="1">IF(C5=0,0,ROUNDUP(ROUND(C5*(1+D5/100),6),0)+1)</f>
        <v>0</v>
      </c>
      <c r="O5" t="str">
        <f t="shared" ref="O5:O13" si="2">IF(N5=0,"",32-MAX(2,ROUNDUP(LOG(N5+2,2)-0.000001,0)))</f>
        <v/>
      </c>
      <c r="P5">
        <f t="shared" ref="P5:P13" si="3">IFERROR(VALUE(LEFT(H5,FIND(".",H5)-1)),-1)</f>
        <v>-1</v>
      </c>
      <c r="Q5">
        <f t="shared" ref="Q5:Q13" si="4">IFERROR(VALUE(MID(H5,FIND(".",H5)+1,FIND("#",SUBSTITUTE(H5,".","#",2))-FIND(".",H5)-1)),-1)</f>
        <v>-1</v>
      </c>
      <c r="R5">
        <f t="shared" ref="R5:R13" si="5">IFERROR(VALUE(MID(H5,FIND("#",SUBSTITUTE(H5,".","#",2))+1,FIND("#",SUBSTITUTE(H5,".","#",3))-FIND("#",SUBSTITUTE(H5,".","#",2))-1)),-1)</f>
        <v>-1</v>
      </c>
      <c r="S5">
        <f t="shared" ref="S5:S13" si="6">IFERROR(VALUE(MID(H5,FIND("#",SUBSTITUTE(H5,".","#",3))+1,3)),-1)</f>
        <v>-1</v>
      </c>
      <c r="T5">
        <f t="shared" ref="T5:T13" si="7">IFERROR(VALUE(MID(J5,FIND("#",SUBSTITUTE(J5,".","#",3))+1,3)),-1)</f>
        <v>-1</v>
      </c>
      <c r="U5">
        <f t="shared" ref="U5:U13" si="8">IF(IFERROR(LEFT(H5,FIND("#",SUBSTITUTE(H5,".","#",3))),"")=IFERROR(LEFT(J5,FIND("#",SUBSTITUTE(J5,".","#",3))),""),1,0)</f>
        <v>1</v>
      </c>
    </row>
    <row r="6" spans="1:21">
      <c r="A6" s="15" t="s">
        <v>77</v>
      </c>
      <c r="B6" s="15" t="s">
        <v>114</v>
      </c>
      <c r="C6" s="15">
        <f>SUMIF('В04 Пристрої'!$E$5:$E$25,A6,'В04 Пристрої'!$C$5:$C$25)</f>
        <v>0</v>
      </c>
      <c r="D6" s="15">
        <v>20</v>
      </c>
      <c r="E6" s="9"/>
      <c r="F6" s="9"/>
      <c r="G6" s="9"/>
      <c r="H6" s="9"/>
      <c r="I6" s="9"/>
      <c r="J6" s="9"/>
      <c r="K6" s="15" t="str">
        <f t="shared" si="0"/>
        <v/>
      </c>
      <c r="L6" s="15"/>
      <c r="N6">
        <f t="shared" si="1"/>
        <v>0</v>
      </c>
      <c r="O6" t="str">
        <f t="shared" si="2"/>
        <v/>
      </c>
      <c r="P6">
        <f t="shared" si="3"/>
        <v>-1</v>
      </c>
      <c r="Q6">
        <f t="shared" si="4"/>
        <v>-1</v>
      </c>
      <c r="R6">
        <f t="shared" si="5"/>
        <v>-1</v>
      </c>
      <c r="S6">
        <f t="shared" si="6"/>
        <v>-1</v>
      </c>
      <c r="T6">
        <f t="shared" si="7"/>
        <v>-1</v>
      </c>
      <c r="U6">
        <f t="shared" si="8"/>
        <v>1</v>
      </c>
    </row>
    <row r="7" spans="1:21">
      <c r="A7" s="15" t="s">
        <v>80</v>
      </c>
      <c r="B7" s="15" t="s">
        <v>118</v>
      </c>
      <c r="C7" s="15">
        <f>SUMIF('В04 Пристрої'!$E$5:$E$25,A7,'В04 Пристрої'!$C$5:$C$25)</f>
        <v>0</v>
      </c>
      <c r="D7" s="15">
        <v>50</v>
      </c>
      <c r="E7" s="9"/>
      <c r="F7" s="9"/>
      <c r="G7" s="9"/>
      <c r="H7" s="9"/>
      <c r="I7" s="9"/>
      <c r="J7" s="9"/>
      <c r="K7" s="15" t="str">
        <f t="shared" si="0"/>
        <v/>
      </c>
      <c r="L7" s="15"/>
      <c r="N7">
        <f t="shared" si="1"/>
        <v>0</v>
      </c>
      <c r="O7" t="str">
        <f t="shared" si="2"/>
        <v/>
      </c>
      <c r="P7">
        <f t="shared" si="3"/>
        <v>-1</v>
      </c>
      <c r="Q7">
        <f t="shared" si="4"/>
        <v>-1</v>
      </c>
      <c r="R7">
        <f t="shared" si="5"/>
        <v>-1</v>
      </c>
      <c r="S7">
        <f t="shared" si="6"/>
        <v>-1</v>
      </c>
      <c r="T7">
        <f t="shared" si="7"/>
        <v>-1</v>
      </c>
      <c r="U7">
        <f t="shared" si="8"/>
        <v>1</v>
      </c>
    </row>
    <row r="8" spans="1:21">
      <c r="A8" s="15" t="s">
        <v>83</v>
      </c>
      <c r="B8" s="15" t="s">
        <v>122</v>
      </c>
      <c r="C8" s="15">
        <f>SUMIF('В04 Пристрої'!$E$5:$E$25,A8,'В04 Пристрої'!$C$5:$C$25)</f>
        <v>0</v>
      </c>
      <c r="D8" s="15">
        <v>40</v>
      </c>
      <c r="E8" s="9"/>
      <c r="F8" s="9"/>
      <c r="G8" s="9"/>
      <c r="H8" s="9"/>
      <c r="I8" s="9"/>
      <c r="J8" s="9"/>
      <c r="K8" s="15" t="str">
        <f t="shared" si="0"/>
        <v/>
      </c>
      <c r="L8" s="15"/>
      <c r="N8">
        <f t="shared" si="1"/>
        <v>0</v>
      </c>
      <c r="O8" t="str">
        <f t="shared" si="2"/>
        <v/>
      </c>
      <c r="P8">
        <f t="shared" si="3"/>
        <v>-1</v>
      </c>
      <c r="Q8">
        <f t="shared" si="4"/>
        <v>-1</v>
      </c>
      <c r="R8">
        <f t="shared" si="5"/>
        <v>-1</v>
      </c>
      <c r="S8">
        <f t="shared" si="6"/>
        <v>-1</v>
      </c>
      <c r="T8">
        <f t="shared" si="7"/>
        <v>-1</v>
      </c>
      <c r="U8">
        <f t="shared" si="8"/>
        <v>1</v>
      </c>
    </row>
    <row r="9" spans="1:21">
      <c r="A9" s="15" t="s">
        <v>86</v>
      </c>
      <c r="B9" s="15" t="s">
        <v>125</v>
      </c>
      <c r="C9" s="15">
        <f>SUMIF('В04 Пристрої'!$E$5:$E$25,A9,'В04 Пристрої'!$C$5:$C$25)</f>
        <v>0</v>
      </c>
      <c r="D9" s="15">
        <v>100</v>
      </c>
      <c r="E9" s="9"/>
      <c r="F9" s="9"/>
      <c r="G9" s="9"/>
      <c r="H9" s="9"/>
      <c r="I9" s="9"/>
      <c r="J9" s="9"/>
      <c r="K9" s="15" t="str">
        <f t="shared" si="0"/>
        <v/>
      </c>
      <c r="L9" s="15"/>
      <c r="N9">
        <f t="shared" si="1"/>
        <v>0</v>
      </c>
      <c r="O9" t="str">
        <f t="shared" si="2"/>
        <v/>
      </c>
      <c r="P9">
        <f t="shared" si="3"/>
        <v>-1</v>
      </c>
      <c r="Q9">
        <f t="shared" si="4"/>
        <v>-1</v>
      </c>
      <c r="R9">
        <f t="shared" si="5"/>
        <v>-1</v>
      </c>
      <c r="S9">
        <f t="shared" si="6"/>
        <v>-1</v>
      </c>
      <c r="T9">
        <f t="shared" si="7"/>
        <v>-1</v>
      </c>
      <c r="U9">
        <f t="shared" si="8"/>
        <v>1</v>
      </c>
    </row>
    <row r="10" spans="1:21">
      <c r="A10" s="15" t="s">
        <v>89</v>
      </c>
      <c r="B10" s="15" t="s">
        <v>129</v>
      </c>
      <c r="C10" s="15">
        <f>SUMIF('В04 Пристрої'!$E$5:$E$25,A10,'В04 Пристрої'!$C$5:$C$25)</f>
        <v>0</v>
      </c>
      <c r="D10" s="15">
        <v>100</v>
      </c>
      <c r="E10" s="9"/>
      <c r="F10" s="9"/>
      <c r="G10" s="9"/>
      <c r="H10" s="9"/>
      <c r="I10" s="9"/>
      <c r="J10" s="9"/>
      <c r="K10" s="15" t="str">
        <f t="shared" si="0"/>
        <v/>
      </c>
      <c r="L10" s="15"/>
      <c r="N10">
        <f t="shared" si="1"/>
        <v>0</v>
      </c>
      <c r="O10" t="str">
        <f t="shared" si="2"/>
        <v/>
      </c>
      <c r="P10">
        <f t="shared" si="3"/>
        <v>-1</v>
      </c>
      <c r="Q10">
        <f t="shared" si="4"/>
        <v>-1</v>
      </c>
      <c r="R10">
        <f t="shared" si="5"/>
        <v>-1</v>
      </c>
      <c r="S10">
        <f t="shared" si="6"/>
        <v>-1</v>
      </c>
      <c r="T10">
        <f t="shared" si="7"/>
        <v>-1</v>
      </c>
      <c r="U10">
        <f t="shared" si="8"/>
        <v>1</v>
      </c>
    </row>
    <row r="11" spans="1:21">
      <c r="A11" s="15" t="s">
        <v>92</v>
      </c>
      <c r="B11" s="15" t="s">
        <v>132</v>
      </c>
      <c r="C11" s="15">
        <f>SUMIF('В04 Пристрої'!$E$5:$E$25,A11,'В04 Пристрої'!$C$5:$C$25)</f>
        <v>0</v>
      </c>
      <c r="D11" s="15">
        <v>50</v>
      </c>
      <c r="E11" s="9"/>
      <c r="F11" s="9"/>
      <c r="G11" s="9"/>
      <c r="H11" s="9"/>
      <c r="I11" s="9"/>
      <c r="J11" s="9"/>
      <c r="K11" s="15" t="str">
        <f t="shared" si="0"/>
        <v/>
      </c>
      <c r="L11" s="15"/>
      <c r="N11">
        <f t="shared" si="1"/>
        <v>0</v>
      </c>
      <c r="O11" t="str">
        <f t="shared" si="2"/>
        <v/>
      </c>
      <c r="P11">
        <f t="shared" si="3"/>
        <v>-1</v>
      </c>
      <c r="Q11">
        <f t="shared" si="4"/>
        <v>-1</v>
      </c>
      <c r="R11">
        <f t="shared" si="5"/>
        <v>-1</v>
      </c>
      <c r="S11">
        <f t="shared" si="6"/>
        <v>-1</v>
      </c>
      <c r="T11">
        <f t="shared" si="7"/>
        <v>-1</v>
      </c>
      <c r="U11">
        <f t="shared" si="8"/>
        <v>1</v>
      </c>
    </row>
    <row r="12" spans="1:21">
      <c r="A12" s="15" t="s">
        <v>146</v>
      </c>
      <c r="B12" s="9"/>
      <c r="C12" s="15">
        <f>SUMIF('В04 Пристрої'!$E$5:$E$25,A12,'В04 Пристрої'!$C$5:$C$25)</f>
        <v>0</v>
      </c>
      <c r="D12" s="9"/>
      <c r="E12" s="9"/>
      <c r="F12" s="9"/>
      <c r="G12" s="9"/>
      <c r="H12" s="9"/>
      <c r="I12" s="9"/>
      <c r="J12" s="9"/>
      <c r="K12" s="15" t="str">
        <f t="shared" si="0"/>
        <v/>
      </c>
      <c r="L12" s="15"/>
      <c r="N12">
        <f t="shared" si="1"/>
        <v>0</v>
      </c>
      <c r="O12" t="str">
        <f t="shared" si="2"/>
        <v/>
      </c>
      <c r="P12">
        <f t="shared" si="3"/>
        <v>-1</v>
      </c>
      <c r="Q12">
        <f t="shared" si="4"/>
        <v>-1</v>
      </c>
      <c r="R12">
        <f t="shared" si="5"/>
        <v>-1</v>
      </c>
      <c r="S12">
        <f t="shared" si="6"/>
        <v>-1</v>
      </c>
      <c r="T12">
        <f t="shared" si="7"/>
        <v>-1</v>
      </c>
      <c r="U12">
        <f t="shared" si="8"/>
        <v>1</v>
      </c>
    </row>
    <row r="13" spans="1:21">
      <c r="A13" s="15" t="s">
        <v>147</v>
      </c>
      <c r="B13" s="9"/>
      <c r="C13" s="15">
        <f>SUMIF('В04 Пристрої'!$E$5:$E$25,A13,'В04 Пристрої'!$C$5:$C$25)</f>
        <v>0</v>
      </c>
      <c r="D13" s="9"/>
      <c r="E13" s="9"/>
      <c r="F13" s="9"/>
      <c r="G13" s="9"/>
      <c r="H13" s="9"/>
      <c r="I13" s="9"/>
      <c r="J13" s="9"/>
      <c r="K13" s="15" t="str">
        <f t="shared" si="0"/>
        <v/>
      </c>
      <c r="L13" s="15"/>
      <c r="N13">
        <f t="shared" si="1"/>
        <v>0</v>
      </c>
      <c r="O13" t="str">
        <f t="shared" si="2"/>
        <v/>
      </c>
      <c r="P13">
        <f t="shared" si="3"/>
        <v>-1</v>
      </c>
      <c r="Q13">
        <f t="shared" si="4"/>
        <v>-1</v>
      </c>
      <c r="R13">
        <f t="shared" si="5"/>
        <v>-1</v>
      </c>
      <c r="S13">
        <f t="shared" si="6"/>
        <v>-1</v>
      </c>
      <c r="T13">
        <f t="shared" si="7"/>
        <v>-1</v>
      </c>
      <c r="U13">
        <f t="shared" si="8"/>
        <v>1</v>
      </c>
    </row>
    <row r="16" spans="1:21">
      <c r="B16" s="12" t="s">
        <v>148</v>
      </c>
    </row>
    <row r="17" spans="2:12">
      <c r="B17" s="6" t="s">
        <v>149</v>
      </c>
      <c r="C17" s="9"/>
    </row>
    <row r="18" spans="2:12">
      <c r="B18" s="6" t="s">
        <v>150</v>
      </c>
      <c r="C18" s="9"/>
    </row>
    <row r="20" spans="2:12" ht="25.5">
      <c r="B20" s="6" t="s">
        <v>151</v>
      </c>
      <c r="C20" s="9"/>
      <c r="L20" s="15" t="str">
        <f>IF(C20="","заповніть native VLAN",IF(NOT(AND(ISNUMBER(C20),C20&gt;=2,C20&lt;=254,C20=INT(C20))),"ціле число від 2 до 254",IF(COUNTIF($F$5:$F$13,C20)&gt;0,"native VLAN не має збігатися з VLAN зони",IF(AND(C17&lt;&gt;"",C18&lt;&gt;"",C20&gt;=C17,C20&lt;=C18),"native VLAN у зарезервованому діапазоні","ОК"))))</f>
        <v>заповніть native VLAN</v>
      </c>
    </row>
  </sheetData>
  <sheetProtection sheet="1" formatCells="0"/>
  <conditionalFormatting sqref="L5:L13">
    <cfRule type="expression" dxfId="53" priority="1">
      <formula>L5="ОК"</formula>
    </cfRule>
    <cfRule type="expression" dxfId="52" priority="2">
      <formula>AND(L5&lt;&gt;"",L5&lt;&gt;"ОК")</formula>
    </cfRule>
  </conditionalFormatting>
  <conditionalFormatting sqref="L20">
    <cfRule type="expression" dxfId="51" priority="3">
      <formula>L20="ОК"</formula>
    </cfRule>
    <cfRule type="expression" dxfId="50" priority="4">
      <formula>L20&lt;&gt;"ОК"</formula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548235"/>
  </sheetPr>
  <dimension ref="A1:B11"/>
  <sheetViews>
    <sheetView workbookViewId="0"/>
  </sheetViews>
  <sheetFormatPr defaultRowHeight="15"/>
  <cols>
    <col min="1" max="1" width="66" customWidth="1"/>
    <col min="2" max="2" width="22" customWidth="1"/>
  </cols>
  <sheetData>
    <row r="1" spans="1:2" ht="19.5">
      <c r="A1" s="3" t="s">
        <v>152</v>
      </c>
    </row>
    <row r="2" spans="1:2">
      <c r="A2" s="4" t="s">
        <v>153</v>
      </c>
    </row>
    <row r="4" spans="1:2">
      <c r="A4" s="15" t="s">
        <v>154</v>
      </c>
      <c r="B4" s="15">
        <f>SUM('В04 Пристрої'!C5:C25)</f>
        <v>63</v>
      </c>
    </row>
    <row r="5" spans="1:2">
      <c r="A5" s="15" t="s">
        <v>155</v>
      </c>
      <c r="B5" s="15">
        <f>COUNTIFS('В04 Пристрої'!C5:C25,"&gt;0",'В04 Пристрої'!E5:E25,"")</f>
        <v>16</v>
      </c>
    </row>
    <row r="6" spans="1:2">
      <c r="A6" s="15" t="s">
        <v>156</v>
      </c>
      <c r="B6" s="15">
        <f>COUNTIF('В04 Пристрої'!F5:F25,"тип*")</f>
        <v>0</v>
      </c>
    </row>
    <row r="7" spans="1:2">
      <c r="A7" s="15" t="s">
        <v>157</v>
      </c>
      <c r="B7" s="15">
        <f>COUNTIFS('В04 Зони й адреси'!L5:L13,"&lt;&gt;ОК",'В04 Зони й адреси'!C5:C13,"&gt;0")</f>
        <v>0</v>
      </c>
    </row>
    <row r="8" spans="1:2">
      <c r="A8" s="15" t="s">
        <v>158</v>
      </c>
      <c r="B8" s="15">
        <f>IF('В04 Зони й адреси'!L20="ОК",0,1)</f>
        <v>1</v>
      </c>
    </row>
    <row r="9" spans="1:2">
      <c r="A9" s="15" t="s">
        <v>159</v>
      </c>
      <c r="B9" s="15">
        <f>MAX(0,COUNTIF('В04 Пристрої'!D5:D25,"потребує рішення")-COUNTA('В04 Обґрунтування'!C5:C12))</f>
        <v>2</v>
      </c>
    </row>
    <row r="10" spans="1:2">
      <c r="A10" s="15" t="s">
        <v>160</v>
      </c>
      <c r="B10" s="15">
        <f>COUNTA('В04 Чернетка колеги'!A15:A17)</f>
        <v>0</v>
      </c>
    </row>
    <row r="11" spans="1:2">
      <c r="A11" s="15" t="s">
        <v>161</v>
      </c>
      <c r="B11" s="15" t="str">
        <f>IF(AND(B5=0,B6=0,B7=0,B8=0,B9=0,B10&gt;=3),"Можна здавати","Є що виправити")</f>
        <v>Є що виправити</v>
      </c>
    </row>
  </sheetData>
  <sheetProtection sheet="1" formatCells="0"/>
  <conditionalFormatting sqref="B11">
    <cfRule type="expression" dxfId="49" priority="1">
      <formula>B11="Можна здавати"</formula>
    </cfRule>
    <cfRule type="expression" dxfId="48" priority="2">
      <formula>B11&lt;&gt;"Можна здавати"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548235"/>
  </sheetPr>
  <dimension ref="A1:C23"/>
  <sheetViews>
    <sheetView workbookViewId="0"/>
  </sheetViews>
  <sheetFormatPr defaultRowHeight="15"/>
  <cols>
    <col min="1" max="1" width="40" customWidth="1"/>
    <col min="2" max="2" width="14" customWidth="1"/>
    <col min="3" max="3" width="100" customWidth="1"/>
  </cols>
  <sheetData>
    <row r="1" spans="1:3" ht="19.5">
      <c r="A1" s="3" t="s">
        <v>162</v>
      </c>
    </row>
    <row r="2" spans="1:3">
      <c r="A2" s="4" t="s">
        <v>163</v>
      </c>
    </row>
    <row r="4" spans="1:3" ht="30" customHeight="1">
      <c r="A4" s="13" t="s">
        <v>164</v>
      </c>
      <c r="B4" s="13" t="s">
        <v>71</v>
      </c>
      <c r="C4" s="13" t="s">
        <v>165</v>
      </c>
    </row>
    <row r="5" spans="1:3">
      <c r="A5" s="15" t="s">
        <v>215</v>
      </c>
      <c r="B5" s="9"/>
      <c r="C5" s="9"/>
    </row>
    <row r="6" spans="1:3">
      <c r="A6" s="15" t="s">
        <v>216</v>
      </c>
      <c r="B6" s="9"/>
      <c r="C6" s="9"/>
    </row>
    <row r="7" spans="1:3">
      <c r="A7" s="9"/>
      <c r="B7" s="9"/>
      <c r="C7" s="9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9"/>
      <c r="B12" s="9"/>
      <c r="C12" s="9"/>
    </row>
    <row r="15" spans="1:3">
      <c r="A15" s="26" t="s">
        <v>166</v>
      </c>
      <c r="B15" s="21"/>
      <c r="C15" s="21"/>
    </row>
    <row r="16" spans="1:3" ht="39.950000000000003" customHeight="1">
      <c r="A16" s="19"/>
      <c r="B16" s="27"/>
      <c r="C16" s="28"/>
    </row>
    <row r="17" spans="1:3">
      <c r="A17" s="29"/>
      <c r="B17" s="30"/>
      <c r="C17" s="31"/>
    </row>
    <row r="18" spans="1:3">
      <c r="A18" s="26" t="s">
        <v>167</v>
      </c>
      <c r="B18" s="21"/>
      <c r="C18" s="21"/>
    </row>
    <row r="19" spans="1:3" ht="39.950000000000003" customHeight="1">
      <c r="A19" s="19"/>
      <c r="B19" s="27"/>
      <c r="C19" s="28"/>
    </row>
    <row r="20" spans="1:3">
      <c r="A20" s="29"/>
      <c r="B20" s="30"/>
      <c r="C20" s="31"/>
    </row>
    <row r="21" spans="1:3">
      <c r="A21" s="26" t="s">
        <v>168</v>
      </c>
      <c r="B21" s="21"/>
      <c r="C21" s="21"/>
    </row>
    <row r="22" spans="1:3" ht="39.950000000000003" customHeight="1">
      <c r="A22" s="19"/>
      <c r="B22" s="27"/>
      <c r="C22" s="28"/>
    </row>
    <row r="23" spans="1:3">
      <c r="A23" s="29"/>
      <c r="B23" s="30"/>
      <c r="C23" s="31"/>
    </row>
  </sheetData>
  <sheetProtection sheet="1" formatCells="0"/>
  <mergeCells count="6">
    <mergeCell ref="A15:C15"/>
    <mergeCell ref="A16:C17"/>
    <mergeCell ref="A19:C20"/>
    <mergeCell ref="A18:C18"/>
    <mergeCell ref="A22:C23"/>
    <mergeCell ref="A21:C2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B16"/>
  <sheetViews>
    <sheetView workbookViewId="0"/>
  </sheetViews>
  <sheetFormatPr defaultRowHeight="15"/>
  <cols>
    <col min="1" max="1" width="26" customWidth="1"/>
    <col min="2" max="2" width="104" customWidth="1"/>
  </cols>
  <sheetData>
    <row r="1" spans="1:2" ht="19.5">
      <c r="A1" s="3" t="s">
        <v>231</v>
      </c>
    </row>
    <row r="2" spans="1:2">
      <c r="A2" s="4" t="s">
        <v>25</v>
      </c>
    </row>
    <row r="4" spans="1:2">
      <c r="A4" s="5" t="s">
        <v>26</v>
      </c>
      <c r="B4" s="6"/>
    </row>
    <row r="5" spans="1:2" ht="25.5">
      <c r="A5" s="7" t="s">
        <v>27</v>
      </c>
      <c r="B5" s="6" t="s">
        <v>28</v>
      </c>
    </row>
    <row r="6" spans="1:2" ht="25.5">
      <c r="A6" s="7" t="s">
        <v>29</v>
      </c>
      <c r="B6" s="6" t="s">
        <v>30</v>
      </c>
    </row>
    <row r="7" spans="1:2" ht="25.5">
      <c r="A7" s="7" t="s">
        <v>31</v>
      </c>
      <c r="B7" s="6" t="s">
        <v>32</v>
      </c>
    </row>
    <row r="8" spans="1:2">
      <c r="A8" s="7" t="s">
        <v>33</v>
      </c>
      <c r="B8" s="6" t="s">
        <v>34</v>
      </c>
    </row>
    <row r="9" spans="1:2" ht="25.5">
      <c r="A9" s="7" t="s">
        <v>35</v>
      </c>
      <c r="B9" s="6" t="s">
        <v>36</v>
      </c>
    </row>
    <row r="10" spans="1:2">
      <c r="A10" s="7" t="s">
        <v>37</v>
      </c>
      <c r="B10" s="6" t="s">
        <v>38</v>
      </c>
    </row>
    <row r="11" spans="1:2">
      <c r="A11" s="7"/>
      <c r="B11" s="6"/>
    </row>
    <row r="12" spans="1:2">
      <c r="A12" s="7" t="s">
        <v>39</v>
      </c>
      <c r="B12" s="6" t="s">
        <v>40</v>
      </c>
    </row>
    <row r="13" spans="1:2">
      <c r="A13" s="7" t="s">
        <v>41</v>
      </c>
      <c r="B13" s="6" t="s">
        <v>42</v>
      </c>
    </row>
    <row r="14" spans="1:2" ht="25.5">
      <c r="A14" s="7" t="s">
        <v>43</v>
      </c>
      <c r="B14" s="6" t="s">
        <v>44</v>
      </c>
    </row>
    <row r="15" spans="1:2" ht="25.5">
      <c r="A15" s="7" t="s">
        <v>45</v>
      </c>
      <c r="B15" s="6" t="s">
        <v>46</v>
      </c>
    </row>
    <row r="16" spans="1:2">
      <c r="A16" s="7" t="s">
        <v>47</v>
      </c>
      <c r="B16" s="6" t="s">
        <v>48</v>
      </c>
    </row>
  </sheetData>
  <sheetProtection sheet="1" formatCells="0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B13"/>
  <sheetViews>
    <sheetView workbookViewId="0"/>
  </sheetViews>
  <sheetFormatPr defaultRowHeight="15"/>
  <cols>
    <col min="1" max="1" width="36" customWidth="1"/>
    <col min="2" max="2" width="70" customWidth="1"/>
  </cols>
  <sheetData>
    <row r="1" spans="1:2" ht="19.5">
      <c r="A1" s="3" t="s">
        <v>232</v>
      </c>
    </row>
    <row r="3" spans="1:2">
      <c r="A3" s="8" t="s">
        <v>50</v>
      </c>
      <c r="B3" s="9"/>
    </row>
    <row r="4" spans="1:2">
      <c r="A4" s="8" t="s">
        <v>51</v>
      </c>
      <c r="B4" s="10" t="s">
        <v>233</v>
      </c>
    </row>
    <row r="5" spans="1:2">
      <c r="A5" s="8" t="s">
        <v>53</v>
      </c>
      <c r="B5" s="10">
        <v>83</v>
      </c>
    </row>
    <row r="6" spans="1:2">
      <c r="A6" s="8" t="s">
        <v>54</v>
      </c>
      <c r="B6" s="10" t="s">
        <v>55</v>
      </c>
    </row>
    <row r="7" spans="1:2" ht="25.5">
      <c r="A7" s="8" t="s">
        <v>56</v>
      </c>
      <c r="B7" s="10" t="s">
        <v>234</v>
      </c>
    </row>
    <row r="8" spans="1:2" ht="25.5">
      <c r="A8" s="8" t="s">
        <v>58</v>
      </c>
      <c r="B8" s="10" t="s">
        <v>235</v>
      </c>
    </row>
    <row r="10" spans="1:2" ht="15.75">
      <c r="A10" s="11" t="s">
        <v>60</v>
      </c>
    </row>
    <row r="11" spans="1:2">
      <c r="A11" s="18" t="s">
        <v>61</v>
      </c>
      <c r="B11" s="21"/>
    </row>
    <row r="12" spans="1:2">
      <c r="A12" s="21"/>
      <c r="B12" s="21"/>
    </row>
    <row r="13" spans="1:2">
      <c r="A13" s="21"/>
      <c r="B13" s="21"/>
    </row>
  </sheetData>
  <sheetProtection sheet="1" formatCells="0"/>
  <mergeCells count="1">
    <mergeCell ref="A11:B1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I25"/>
  <sheetViews>
    <sheetView workbookViewId="0"/>
  </sheetViews>
  <sheetFormatPr defaultRowHeight="15"/>
  <cols>
    <col min="1" max="1" width="5" customWidth="1"/>
    <col min="2" max="2" width="56" customWidth="1"/>
    <col min="3" max="3" width="11" customWidth="1"/>
    <col min="4" max="4" width="24" customWidth="1"/>
    <col min="5" max="5" width="16" customWidth="1"/>
    <col min="6" max="6" width="40" customWidth="1"/>
    <col min="7" max="7" width="3" customWidth="1"/>
    <col min="8" max="8" width="24" customWidth="1"/>
    <col min="9" max="9" width="14" customWidth="1"/>
  </cols>
  <sheetData>
    <row r="1" spans="1:9" ht="19.5">
      <c r="A1" s="3" t="s">
        <v>62</v>
      </c>
    </row>
    <row r="2" spans="1:9">
      <c r="A2" s="4" t="s">
        <v>63</v>
      </c>
    </row>
    <row r="3" spans="1:9">
      <c r="H3" s="12" t="s">
        <v>64</v>
      </c>
    </row>
    <row r="4" spans="1:9" ht="39.950000000000003" customHeight="1">
      <c r="A4" s="13" t="s">
        <v>65</v>
      </c>
      <c r="B4" s="13" t="s">
        <v>66</v>
      </c>
      <c r="C4" s="13" t="s">
        <v>67</v>
      </c>
      <c r="D4" s="13" t="s">
        <v>68</v>
      </c>
      <c r="E4" s="13" t="s">
        <v>69</v>
      </c>
      <c r="F4" s="13" t="s">
        <v>70</v>
      </c>
      <c r="H4" s="14" t="s">
        <v>68</v>
      </c>
      <c r="I4" s="14" t="s">
        <v>71</v>
      </c>
    </row>
    <row r="5" spans="1:9">
      <c r="A5" s="15">
        <v>1</v>
      </c>
      <c r="B5" s="15" t="s">
        <v>72</v>
      </c>
      <c r="C5" s="15">
        <v>4</v>
      </c>
      <c r="D5" s="15" t="s">
        <v>73</v>
      </c>
      <c r="E5" s="9"/>
      <c r="F5" s="15" t="str">
        <f t="shared" ref="F5:F25" si="0">IF(C5="","",IF(D5="","вкажіть тип",IF(E5="","призначте зону",IF(D5="потребує рішення","рішення поясніть на аркуші «Обґрунтування»",IF(IFERROR(VLOOKUP(D5,$H$5:$I$11,2,FALSE),"?")=E5,"ОК","тип пристрою не відповідає зоні")))))</f>
        <v>призначте зону</v>
      </c>
      <c r="H5" s="15" t="s">
        <v>73</v>
      </c>
      <c r="I5" s="15" t="s">
        <v>74</v>
      </c>
    </row>
    <row r="6" spans="1:9">
      <c r="A6" s="15">
        <v>2</v>
      </c>
      <c r="B6" s="15" t="s">
        <v>75</v>
      </c>
      <c r="C6" s="15">
        <v>1</v>
      </c>
      <c r="D6" s="15" t="s">
        <v>73</v>
      </c>
      <c r="E6" s="9"/>
      <c r="F6" s="15" t="str">
        <f t="shared" si="0"/>
        <v>призначте зону</v>
      </c>
      <c r="H6" s="15" t="s">
        <v>76</v>
      </c>
      <c r="I6" s="15" t="s">
        <v>77</v>
      </c>
    </row>
    <row r="7" spans="1:9">
      <c r="A7" s="15">
        <v>3</v>
      </c>
      <c r="B7" s="15" t="s">
        <v>78</v>
      </c>
      <c r="C7" s="15">
        <v>4</v>
      </c>
      <c r="D7" s="15" t="s">
        <v>76</v>
      </c>
      <c r="E7" s="9"/>
      <c r="F7" s="15" t="str">
        <f t="shared" si="0"/>
        <v>призначте зону</v>
      </c>
      <c r="H7" s="15" t="s">
        <v>79</v>
      </c>
      <c r="I7" s="15" t="s">
        <v>80</v>
      </c>
    </row>
    <row r="8" spans="1:9">
      <c r="A8" s="15">
        <v>4</v>
      </c>
      <c r="B8" s="15" t="s">
        <v>81</v>
      </c>
      <c r="C8" s="15">
        <v>3</v>
      </c>
      <c r="D8" s="15" t="s">
        <v>79</v>
      </c>
      <c r="E8" s="9"/>
      <c r="F8" s="15" t="str">
        <f t="shared" si="0"/>
        <v>призначте зону</v>
      </c>
      <c r="H8" s="15" t="s">
        <v>82</v>
      </c>
      <c r="I8" s="15" t="s">
        <v>83</v>
      </c>
    </row>
    <row r="9" spans="1:9">
      <c r="A9" s="15">
        <v>5</v>
      </c>
      <c r="B9" s="15" t="s">
        <v>84</v>
      </c>
      <c r="C9" s="15">
        <v>2</v>
      </c>
      <c r="D9" s="15" t="s">
        <v>82</v>
      </c>
      <c r="E9" s="9"/>
      <c r="F9" s="15" t="str">
        <f t="shared" si="0"/>
        <v>призначте зону</v>
      </c>
      <c r="H9" s="15" t="s">
        <v>85</v>
      </c>
      <c r="I9" s="15" t="s">
        <v>86</v>
      </c>
    </row>
    <row r="10" spans="1:9">
      <c r="A10" s="15">
        <v>6</v>
      </c>
      <c r="B10" s="15" t="s">
        <v>87</v>
      </c>
      <c r="C10" s="15">
        <v>7</v>
      </c>
      <c r="D10" s="15" t="s">
        <v>82</v>
      </c>
      <c r="E10" s="9"/>
      <c r="F10" s="15" t="str">
        <f t="shared" si="0"/>
        <v>призначте зону</v>
      </c>
      <c r="H10" s="15" t="s">
        <v>88</v>
      </c>
      <c r="I10" s="15" t="s">
        <v>89</v>
      </c>
    </row>
    <row r="11" spans="1:9">
      <c r="A11" s="15">
        <v>7</v>
      </c>
      <c r="B11" s="15" t="s">
        <v>90</v>
      </c>
      <c r="C11" s="15">
        <v>9</v>
      </c>
      <c r="D11" s="15" t="s">
        <v>85</v>
      </c>
      <c r="E11" s="9"/>
      <c r="F11" s="15" t="str">
        <f t="shared" si="0"/>
        <v>призначте зону</v>
      </c>
      <c r="H11" s="15" t="s">
        <v>91</v>
      </c>
      <c r="I11" s="15" t="s">
        <v>92</v>
      </c>
    </row>
    <row r="12" spans="1:9">
      <c r="A12" s="15">
        <v>8</v>
      </c>
      <c r="B12" s="15" t="s">
        <v>93</v>
      </c>
      <c r="C12" s="15">
        <v>3</v>
      </c>
      <c r="D12" s="15" t="s">
        <v>85</v>
      </c>
      <c r="E12" s="9"/>
      <c r="F12" s="15" t="str">
        <f t="shared" si="0"/>
        <v>призначте зону</v>
      </c>
      <c r="H12" s="16" t="s">
        <v>94</v>
      </c>
    </row>
    <row r="13" spans="1:9">
      <c r="A13" s="15">
        <v>9</v>
      </c>
      <c r="B13" s="15" t="s">
        <v>95</v>
      </c>
      <c r="C13" s="15">
        <v>5</v>
      </c>
      <c r="D13" s="15" t="s">
        <v>85</v>
      </c>
      <c r="E13" s="9"/>
      <c r="F13" s="15" t="str">
        <f t="shared" si="0"/>
        <v>призначте зону</v>
      </c>
    </row>
    <row r="14" spans="1:9">
      <c r="A14" s="15">
        <v>10</v>
      </c>
      <c r="B14" s="15" t="s">
        <v>96</v>
      </c>
      <c r="C14" s="15">
        <v>50</v>
      </c>
      <c r="D14" s="15" t="s">
        <v>88</v>
      </c>
      <c r="E14" s="9"/>
      <c r="F14" s="15" t="str">
        <f t="shared" si="0"/>
        <v>призначте зону</v>
      </c>
    </row>
    <row r="15" spans="1:9">
      <c r="A15" s="15">
        <v>11</v>
      </c>
      <c r="B15" s="15" t="s">
        <v>97</v>
      </c>
      <c r="C15" s="15">
        <v>2</v>
      </c>
      <c r="D15" s="15" t="s">
        <v>91</v>
      </c>
      <c r="E15" s="9"/>
      <c r="F15" s="15" t="str">
        <f t="shared" si="0"/>
        <v>призначте зону</v>
      </c>
    </row>
    <row r="16" spans="1:9">
      <c r="A16" s="15">
        <v>12</v>
      </c>
      <c r="B16" s="15" t="s">
        <v>98</v>
      </c>
      <c r="C16" s="15">
        <v>2</v>
      </c>
      <c r="D16" s="15" t="s">
        <v>91</v>
      </c>
      <c r="E16" s="9"/>
      <c r="F16" s="15" t="str">
        <f t="shared" si="0"/>
        <v>призначте зону</v>
      </c>
    </row>
    <row r="17" spans="1:6">
      <c r="A17" s="15">
        <v>13</v>
      </c>
      <c r="B17" s="15" t="s">
        <v>99</v>
      </c>
      <c r="C17" s="15">
        <v>2</v>
      </c>
      <c r="D17" s="15" t="s">
        <v>91</v>
      </c>
      <c r="E17" s="9"/>
      <c r="F17" s="15" t="str">
        <f t="shared" si="0"/>
        <v>призначте зону</v>
      </c>
    </row>
    <row r="18" spans="1:6">
      <c r="A18" s="15">
        <v>14</v>
      </c>
      <c r="B18" s="15" t="s">
        <v>100</v>
      </c>
      <c r="C18" s="15">
        <v>1</v>
      </c>
      <c r="D18" s="15" t="s">
        <v>91</v>
      </c>
      <c r="E18" s="9"/>
      <c r="F18" s="15" t="str">
        <f t="shared" si="0"/>
        <v>призначте зону</v>
      </c>
    </row>
    <row r="19" spans="1:6">
      <c r="A19" s="15">
        <v>15</v>
      </c>
      <c r="B19" s="15" t="s">
        <v>236</v>
      </c>
      <c r="C19" s="15">
        <v>1</v>
      </c>
      <c r="D19" s="15" t="s">
        <v>102</v>
      </c>
      <c r="E19" s="9"/>
      <c r="F19" s="15" t="str">
        <f t="shared" si="0"/>
        <v>призначте зону</v>
      </c>
    </row>
    <row r="20" spans="1:6">
      <c r="A20" s="15">
        <v>16</v>
      </c>
      <c r="B20" s="15" t="s">
        <v>237</v>
      </c>
      <c r="C20" s="15">
        <v>1</v>
      </c>
      <c r="D20" s="15" t="s">
        <v>102</v>
      </c>
      <c r="E20" s="9"/>
      <c r="F20" s="15" t="str">
        <f t="shared" si="0"/>
        <v>призначте зону</v>
      </c>
    </row>
    <row r="21" spans="1:6">
      <c r="A21" s="17">
        <v>17</v>
      </c>
      <c r="B21" s="9"/>
      <c r="C21" s="9"/>
      <c r="D21" s="9"/>
      <c r="E21" s="9"/>
      <c r="F21" s="15" t="str">
        <f t="shared" si="0"/>
        <v/>
      </c>
    </row>
    <row r="22" spans="1:6">
      <c r="A22" s="17">
        <v>18</v>
      </c>
      <c r="B22" s="9"/>
      <c r="C22" s="9"/>
      <c r="D22" s="9"/>
      <c r="E22" s="9"/>
      <c r="F22" s="15" t="str">
        <f t="shared" si="0"/>
        <v/>
      </c>
    </row>
    <row r="23" spans="1:6">
      <c r="A23" s="17">
        <v>19</v>
      </c>
      <c r="B23" s="9"/>
      <c r="C23" s="9"/>
      <c r="D23" s="9"/>
      <c r="E23" s="9"/>
      <c r="F23" s="15" t="str">
        <f t="shared" si="0"/>
        <v/>
      </c>
    </row>
    <row r="24" spans="1:6">
      <c r="A24" s="17">
        <v>20</v>
      </c>
      <c r="B24" s="9"/>
      <c r="C24" s="9"/>
      <c r="D24" s="9"/>
      <c r="E24" s="9"/>
      <c r="F24" s="15" t="str">
        <f t="shared" si="0"/>
        <v/>
      </c>
    </row>
    <row r="25" spans="1:6">
      <c r="A25" s="17">
        <v>21</v>
      </c>
      <c r="B25" s="9"/>
      <c r="C25" s="9"/>
      <c r="D25" s="9"/>
      <c r="E25" s="9"/>
      <c r="F25" s="15" t="str">
        <f t="shared" si="0"/>
        <v/>
      </c>
    </row>
  </sheetData>
  <sheetProtection sheet="1" formatCells="0"/>
  <conditionalFormatting sqref="F5:F25">
    <cfRule type="expression" dxfId="47" priority="1">
      <formula>F5="ОК"</formula>
    </cfRule>
    <cfRule type="expression" dxfId="46" priority="2">
      <formula>OR(LEFT(F5,3)="тип",F5="призначте зону",F5="вкажіть тип")</formula>
    </cfRule>
  </conditionalFormatting>
  <dataValidations count="2">
    <dataValidation type="list" allowBlank="1" sqref="E5:E25" xr:uid="{00000000-0002-0000-1F00-000000000000}">
      <formula1>"KASA,MANAGERS,ABS,ATM_POS,IOT,GUEST,MGMT,NEW1,NEW2"</formula1>
    </dataValidation>
    <dataValidation type="list" allowBlank="1" sqref="D21:D25" xr:uid="{00000000-0002-0000-1F00-000001000000}">
      <formula1>"каса,менеджер,АБС,платіжний пристрій,без користувача,клієнтські пристрої,мережеве обладнання,потребує рішення"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G17"/>
  <sheetViews>
    <sheetView workbookViewId="0"/>
  </sheetViews>
  <sheetFormatPr defaultRowHeight="15"/>
  <cols>
    <col min="1" max="1" width="6" customWidth="1"/>
    <col min="2" max="2" width="26" customWidth="1"/>
    <col min="3" max="3" width="14" customWidth="1"/>
    <col min="4" max="4" width="9" customWidth="1"/>
    <col min="5" max="5" width="20" customWidth="1"/>
    <col min="6" max="6" width="10" customWidth="1"/>
    <col min="7" max="7" width="20" customWidth="1"/>
  </cols>
  <sheetData>
    <row r="1" spans="1:7" ht="19.5">
      <c r="A1" s="3" t="s">
        <v>104</v>
      </c>
    </row>
    <row r="2" spans="1:7">
      <c r="A2" s="4" t="s">
        <v>105</v>
      </c>
    </row>
    <row r="4" spans="1:7" ht="39.950000000000003" customHeight="1">
      <c r="A4" s="13" t="s">
        <v>65</v>
      </c>
      <c r="B4" s="13" t="s">
        <v>71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47</v>
      </c>
    </row>
    <row r="5" spans="1:7">
      <c r="A5" s="15">
        <v>1</v>
      </c>
      <c r="B5" s="15" t="s">
        <v>110</v>
      </c>
      <c r="C5" s="15">
        <v>9</v>
      </c>
      <c r="D5" s="15">
        <v>40</v>
      </c>
      <c r="E5" s="15" t="s">
        <v>238</v>
      </c>
      <c r="F5" s="15" t="s">
        <v>112</v>
      </c>
      <c r="G5" s="15" t="s">
        <v>239</v>
      </c>
    </row>
    <row r="6" spans="1:7">
      <c r="A6" s="15">
        <v>2</v>
      </c>
      <c r="B6" s="15" t="s">
        <v>114</v>
      </c>
      <c r="C6" s="15">
        <v>6</v>
      </c>
      <c r="D6" s="15">
        <v>50</v>
      </c>
      <c r="E6" s="15" t="s">
        <v>240</v>
      </c>
      <c r="F6" s="15" t="s">
        <v>120</v>
      </c>
      <c r="G6" s="15" t="s">
        <v>241</v>
      </c>
    </row>
    <row r="7" spans="1:7">
      <c r="A7" s="15">
        <v>3</v>
      </c>
      <c r="B7" s="15" t="s">
        <v>118</v>
      </c>
      <c r="C7" s="15">
        <v>5</v>
      </c>
      <c r="D7" s="15">
        <v>60</v>
      </c>
      <c r="E7" s="15" t="s">
        <v>242</v>
      </c>
      <c r="F7" s="15" t="s">
        <v>116</v>
      </c>
      <c r="G7" s="15" t="s">
        <v>243</v>
      </c>
    </row>
    <row r="8" spans="1:7">
      <c r="A8" s="15">
        <v>4</v>
      </c>
      <c r="B8" s="15" t="s">
        <v>122</v>
      </c>
      <c r="C8" s="15">
        <v>13</v>
      </c>
      <c r="D8" s="15">
        <v>70</v>
      </c>
      <c r="E8" s="15" t="s">
        <v>244</v>
      </c>
      <c r="F8" s="15" t="s">
        <v>112</v>
      </c>
      <c r="G8" s="15" t="s">
        <v>245</v>
      </c>
    </row>
    <row r="9" spans="1:7">
      <c r="A9" s="15">
        <v>5</v>
      </c>
      <c r="B9" s="15" t="s">
        <v>125</v>
      </c>
      <c r="C9" s="15">
        <v>28</v>
      </c>
      <c r="D9" s="15">
        <v>80</v>
      </c>
      <c r="E9" s="15" t="s">
        <v>246</v>
      </c>
      <c r="F9" s="15" t="s">
        <v>184</v>
      </c>
      <c r="G9" s="15" t="s">
        <v>247</v>
      </c>
    </row>
    <row r="10" spans="1:7">
      <c r="A10" s="15">
        <v>6</v>
      </c>
      <c r="B10" s="15" t="s">
        <v>129</v>
      </c>
      <c r="C10" s="15">
        <v>76</v>
      </c>
      <c r="D10" s="15">
        <v>90</v>
      </c>
      <c r="E10" s="15" t="s">
        <v>248</v>
      </c>
      <c r="F10" s="15" t="s">
        <v>187</v>
      </c>
      <c r="G10" s="15" t="s">
        <v>249</v>
      </c>
    </row>
    <row r="11" spans="1:7">
      <c r="A11" s="15">
        <v>7</v>
      </c>
      <c r="B11" s="15" t="s">
        <v>132</v>
      </c>
      <c r="C11" s="15">
        <v>10</v>
      </c>
      <c r="D11" s="15">
        <v>60</v>
      </c>
      <c r="E11" s="15" t="s">
        <v>242</v>
      </c>
      <c r="F11" s="15" t="s">
        <v>112</v>
      </c>
      <c r="G11" s="15" t="s">
        <v>243</v>
      </c>
    </row>
    <row r="13" spans="1:7" ht="15.75">
      <c r="A13" s="11" t="s">
        <v>133</v>
      </c>
    </row>
    <row r="14" spans="1:7" ht="27.95" customHeight="1">
      <c r="A14" s="13" t="s">
        <v>134</v>
      </c>
      <c r="B14" s="13" t="s">
        <v>135</v>
      </c>
      <c r="C14" s="20" t="s">
        <v>136</v>
      </c>
      <c r="D14" s="22"/>
      <c r="E14" s="22"/>
      <c r="F14" s="22"/>
      <c r="G14" s="23"/>
    </row>
    <row r="15" spans="1:7">
      <c r="A15" s="9"/>
      <c r="B15" s="9"/>
      <c r="C15" s="19"/>
      <c r="D15" s="24"/>
      <c r="E15" s="24"/>
      <c r="F15" s="24"/>
      <c r="G15" s="25"/>
    </row>
    <row r="16" spans="1:7">
      <c r="A16" s="9"/>
      <c r="B16" s="9"/>
      <c r="C16" s="19"/>
      <c r="D16" s="24"/>
      <c r="E16" s="24"/>
      <c r="F16" s="24"/>
      <c r="G16" s="25"/>
    </row>
    <row r="17" spans="1:7">
      <c r="A17" s="9"/>
      <c r="B17" s="9"/>
      <c r="C17" s="19"/>
      <c r="D17" s="24"/>
      <c r="E17" s="24"/>
      <c r="F17" s="24"/>
      <c r="G17" s="25"/>
    </row>
  </sheetData>
  <sheetProtection sheet="1" formatCells="0"/>
  <mergeCells count="4">
    <mergeCell ref="C16:G16"/>
    <mergeCell ref="C15:G15"/>
    <mergeCell ref="C17:G17"/>
    <mergeCell ref="C14:G1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U20"/>
  <sheetViews>
    <sheetView workbookViewId="0"/>
  </sheetViews>
  <sheetFormatPr defaultRowHeight="15"/>
  <cols>
    <col min="1" max="1" width="11" customWidth="1"/>
    <col min="2" max="2" width="22" customWidth="1"/>
    <col min="3" max="3" width="10" customWidth="1"/>
    <col min="4" max="4" width="11" customWidth="1"/>
    <col min="5" max="5" width="13" customWidth="1"/>
    <col min="6" max="6" width="8" customWidth="1"/>
    <col min="7" max="8" width="16" customWidth="1"/>
    <col min="9" max="9" width="9" customWidth="1"/>
    <col min="10" max="10" width="16" customWidth="1"/>
    <col min="11" max="11" width="10" customWidth="1"/>
    <col min="12" max="12" width="56" customWidth="1"/>
    <col min="14" max="21" width="13" hidden="1" customWidth="1"/>
  </cols>
  <sheetData>
    <row r="1" spans="1:21" ht="19.5">
      <c r="A1" s="3" t="s">
        <v>137</v>
      </c>
    </row>
    <row r="2" spans="1:21">
      <c r="A2" s="4" t="s">
        <v>138</v>
      </c>
    </row>
    <row r="4" spans="1:21" ht="54" customHeight="1">
      <c r="A4" s="13" t="s">
        <v>139</v>
      </c>
      <c r="B4" s="13" t="s">
        <v>140</v>
      </c>
      <c r="C4" s="13" t="s">
        <v>141</v>
      </c>
      <c r="D4" s="13" t="s">
        <v>58</v>
      </c>
      <c r="E4" s="13" t="s">
        <v>142</v>
      </c>
      <c r="F4" s="13" t="s">
        <v>107</v>
      </c>
      <c r="G4" s="13" t="s">
        <v>143</v>
      </c>
      <c r="H4" s="13" t="s">
        <v>108</v>
      </c>
      <c r="I4" s="13" t="s">
        <v>144</v>
      </c>
      <c r="J4" s="13" t="s">
        <v>47</v>
      </c>
      <c r="K4" s="13" t="s">
        <v>145</v>
      </c>
      <c r="L4" s="13" t="s">
        <v>70</v>
      </c>
    </row>
    <row r="5" spans="1:21">
      <c r="A5" s="15" t="s">
        <v>74</v>
      </c>
      <c r="B5" s="15" t="s">
        <v>110</v>
      </c>
      <c r="C5" s="15">
        <f>SUMIF('В05 Пристрої'!$E$5:$E$25,A5,'В05 Пристрої'!$C$5:$C$25)</f>
        <v>0</v>
      </c>
      <c r="D5" s="15">
        <v>25</v>
      </c>
      <c r="E5" s="9"/>
      <c r="F5" s="9"/>
      <c r="G5" s="9"/>
      <c r="H5" s="9"/>
      <c r="I5" s="9"/>
      <c r="J5" s="9"/>
      <c r="K5" s="15" t="str">
        <f t="shared" ref="K5:K13" si="0">IF(OR(I5="",NOT(ISNUMBER(I5))),"",2^(32-I5)-2)</f>
        <v/>
      </c>
      <c r="L5" s="15"/>
      <c r="N5">
        <f t="shared" ref="N5:N13" si="1">IF(C5=0,0,ROUNDUP(ROUND(C5*(1+D5/100),6),0)+1)</f>
        <v>0</v>
      </c>
      <c r="O5" t="str">
        <f t="shared" ref="O5:O13" si="2">IF(N5=0,"",32-MAX(2,ROUNDUP(LOG(N5+2,2)-0.000001,0)))</f>
        <v/>
      </c>
      <c r="P5">
        <f t="shared" ref="P5:P13" si="3">IFERROR(VALUE(LEFT(H5,FIND(".",H5)-1)),-1)</f>
        <v>-1</v>
      </c>
      <c r="Q5">
        <f t="shared" ref="Q5:Q13" si="4">IFERROR(VALUE(MID(H5,FIND(".",H5)+1,FIND("#",SUBSTITUTE(H5,".","#",2))-FIND(".",H5)-1)),-1)</f>
        <v>-1</v>
      </c>
      <c r="R5">
        <f t="shared" ref="R5:R13" si="5">IFERROR(VALUE(MID(H5,FIND("#",SUBSTITUTE(H5,".","#",2))+1,FIND("#",SUBSTITUTE(H5,".","#",3))-FIND("#",SUBSTITUTE(H5,".","#",2))-1)),-1)</f>
        <v>-1</v>
      </c>
      <c r="S5">
        <f t="shared" ref="S5:S13" si="6">IFERROR(VALUE(MID(H5,FIND("#",SUBSTITUTE(H5,".","#",3))+1,3)),-1)</f>
        <v>-1</v>
      </c>
      <c r="T5">
        <f t="shared" ref="T5:T13" si="7">IFERROR(VALUE(MID(J5,FIND("#",SUBSTITUTE(J5,".","#",3))+1,3)),-1)</f>
        <v>-1</v>
      </c>
      <c r="U5">
        <f t="shared" ref="U5:U13" si="8">IF(IFERROR(LEFT(H5,FIND("#",SUBSTITUTE(H5,".","#",3))),"")=IFERROR(LEFT(J5,FIND("#",SUBSTITUTE(J5,".","#",3))),""),1,0)</f>
        <v>1</v>
      </c>
    </row>
    <row r="6" spans="1:21">
      <c r="A6" s="15" t="s">
        <v>77</v>
      </c>
      <c r="B6" s="15" t="s">
        <v>114</v>
      </c>
      <c r="C6" s="15">
        <f>SUMIF('В05 Пристрої'!$E$5:$E$25,A6,'В05 Пристрої'!$C$5:$C$25)</f>
        <v>0</v>
      </c>
      <c r="D6" s="15">
        <v>25</v>
      </c>
      <c r="E6" s="9"/>
      <c r="F6" s="9"/>
      <c r="G6" s="9"/>
      <c r="H6" s="9"/>
      <c r="I6" s="9"/>
      <c r="J6" s="9"/>
      <c r="K6" s="15" t="str">
        <f t="shared" si="0"/>
        <v/>
      </c>
      <c r="L6" s="15"/>
      <c r="N6">
        <f t="shared" si="1"/>
        <v>0</v>
      </c>
      <c r="O6" t="str">
        <f t="shared" si="2"/>
        <v/>
      </c>
      <c r="P6">
        <f t="shared" si="3"/>
        <v>-1</v>
      </c>
      <c r="Q6">
        <f t="shared" si="4"/>
        <v>-1</v>
      </c>
      <c r="R6">
        <f t="shared" si="5"/>
        <v>-1</v>
      </c>
      <c r="S6">
        <f t="shared" si="6"/>
        <v>-1</v>
      </c>
      <c r="T6">
        <f t="shared" si="7"/>
        <v>-1</v>
      </c>
      <c r="U6">
        <f t="shared" si="8"/>
        <v>1</v>
      </c>
    </row>
    <row r="7" spans="1:21">
      <c r="A7" s="15" t="s">
        <v>80</v>
      </c>
      <c r="B7" s="15" t="s">
        <v>118</v>
      </c>
      <c r="C7" s="15">
        <f>SUMIF('В05 Пристрої'!$E$5:$E$25,A7,'В05 Пристрої'!$C$5:$C$25)</f>
        <v>0</v>
      </c>
      <c r="D7" s="15">
        <v>30</v>
      </c>
      <c r="E7" s="9"/>
      <c r="F7" s="9"/>
      <c r="G7" s="9"/>
      <c r="H7" s="9"/>
      <c r="I7" s="9"/>
      <c r="J7" s="9"/>
      <c r="K7" s="15" t="str">
        <f t="shared" si="0"/>
        <v/>
      </c>
      <c r="L7" s="15"/>
      <c r="N7">
        <f t="shared" si="1"/>
        <v>0</v>
      </c>
      <c r="O7" t="str">
        <f t="shared" si="2"/>
        <v/>
      </c>
      <c r="P7">
        <f t="shared" si="3"/>
        <v>-1</v>
      </c>
      <c r="Q7">
        <f t="shared" si="4"/>
        <v>-1</v>
      </c>
      <c r="R7">
        <f t="shared" si="5"/>
        <v>-1</v>
      </c>
      <c r="S7">
        <f t="shared" si="6"/>
        <v>-1</v>
      </c>
      <c r="T7">
        <f t="shared" si="7"/>
        <v>-1</v>
      </c>
      <c r="U7">
        <f t="shared" si="8"/>
        <v>1</v>
      </c>
    </row>
    <row r="8" spans="1:21">
      <c r="A8" s="15" t="s">
        <v>83</v>
      </c>
      <c r="B8" s="15" t="s">
        <v>122</v>
      </c>
      <c r="C8" s="15">
        <f>SUMIF('В05 Пристрої'!$E$5:$E$25,A8,'В05 Пристрої'!$C$5:$C$25)</f>
        <v>0</v>
      </c>
      <c r="D8" s="15">
        <v>25</v>
      </c>
      <c r="E8" s="9"/>
      <c r="F8" s="9"/>
      <c r="G8" s="9"/>
      <c r="H8" s="9"/>
      <c r="I8" s="9"/>
      <c r="J8" s="9"/>
      <c r="K8" s="15" t="str">
        <f t="shared" si="0"/>
        <v/>
      </c>
      <c r="L8" s="15"/>
      <c r="N8">
        <f t="shared" si="1"/>
        <v>0</v>
      </c>
      <c r="O8" t="str">
        <f t="shared" si="2"/>
        <v/>
      </c>
      <c r="P8">
        <f t="shared" si="3"/>
        <v>-1</v>
      </c>
      <c r="Q8">
        <f t="shared" si="4"/>
        <v>-1</v>
      </c>
      <c r="R8">
        <f t="shared" si="5"/>
        <v>-1</v>
      </c>
      <c r="S8">
        <f t="shared" si="6"/>
        <v>-1</v>
      </c>
      <c r="T8">
        <f t="shared" si="7"/>
        <v>-1</v>
      </c>
      <c r="U8">
        <f t="shared" si="8"/>
        <v>1</v>
      </c>
    </row>
    <row r="9" spans="1:21">
      <c r="A9" s="15" t="s">
        <v>86</v>
      </c>
      <c r="B9" s="15" t="s">
        <v>125</v>
      </c>
      <c r="C9" s="15">
        <f>SUMIF('В05 Пристрої'!$E$5:$E$25,A9,'В05 Пристрої'!$C$5:$C$25)</f>
        <v>0</v>
      </c>
      <c r="D9" s="15">
        <v>50</v>
      </c>
      <c r="E9" s="9"/>
      <c r="F9" s="9"/>
      <c r="G9" s="9"/>
      <c r="H9" s="9"/>
      <c r="I9" s="9"/>
      <c r="J9" s="9"/>
      <c r="K9" s="15" t="str">
        <f t="shared" si="0"/>
        <v/>
      </c>
      <c r="L9" s="15"/>
      <c r="N9">
        <f t="shared" si="1"/>
        <v>0</v>
      </c>
      <c r="O9" t="str">
        <f t="shared" si="2"/>
        <v/>
      </c>
      <c r="P9">
        <f t="shared" si="3"/>
        <v>-1</v>
      </c>
      <c r="Q9">
        <f t="shared" si="4"/>
        <v>-1</v>
      </c>
      <c r="R9">
        <f t="shared" si="5"/>
        <v>-1</v>
      </c>
      <c r="S9">
        <f t="shared" si="6"/>
        <v>-1</v>
      </c>
      <c r="T9">
        <f t="shared" si="7"/>
        <v>-1</v>
      </c>
      <c r="U9">
        <f t="shared" si="8"/>
        <v>1</v>
      </c>
    </row>
    <row r="10" spans="1:21">
      <c r="A10" s="15" t="s">
        <v>89</v>
      </c>
      <c r="B10" s="15" t="s">
        <v>129</v>
      </c>
      <c r="C10" s="15">
        <f>SUMIF('В05 Пристрої'!$E$5:$E$25,A10,'В05 Пристрої'!$C$5:$C$25)</f>
        <v>0</v>
      </c>
      <c r="D10" s="15">
        <v>50</v>
      </c>
      <c r="E10" s="9"/>
      <c r="F10" s="9"/>
      <c r="G10" s="9"/>
      <c r="H10" s="9"/>
      <c r="I10" s="9"/>
      <c r="J10" s="9"/>
      <c r="K10" s="15" t="str">
        <f t="shared" si="0"/>
        <v/>
      </c>
      <c r="L10" s="15"/>
      <c r="N10">
        <f t="shared" si="1"/>
        <v>0</v>
      </c>
      <c r="O10" t="str">
        <f t="shared" si="2"/>
        <v/>
      </c>
      <c r="P10">
        <f t="shared" si="3"/>
        <v>-1</v>
      </c>
      <c r="Q10">
        <f t="shared" si="4"/>
        <v>-1</v>
      </c>
      <c r="R10">
        <f t="shared" si="5"/>
        <v>-1</v>
      </c>
      <c r="S10">
        <f t="shared" si="6"/>
        <v>-1</v>
      </c>
      <c r="T10">
        <f t="shared" si="7"/>
        <v>-1</v>
      </c>
      <c r="U10">
        <f t="shared" si="8"/>
        <v>1</v>
      </c>
    </row>
    <row r="11" spans="1:21">
      <c r="A11" s="15" t="s">
        <v>92</v>
      </c>
      <c r="B11" s="15" t="s">
        <v>132</v>
      </c>
      <c r="C11" s="15">
        <f>SUMIF('В05 Пристрої'!$E$5:$E$25,A11,'В05 Пристрої'!$C$5:$C$25)</f>
        <v>0</v>
      </c>
      <c r="D11" s="15">
        <v>20</v>
      </c>
      <c r="E11" s="9"/>
      <c r="F11" s="9"/>
      <c r="G11" s="9"/>
      <c r="H11" s="9"/>
      <c r="I11" s="9"/>
      <c r="J11" s="9"/>
      <c r="K11" s="15" t="str">
        <f t="shared" si="0"/>
        <v/>
      </c>
      <c r="L11" s="15"/>
      <c r="N11">
        <f t="shared" si="1"/>
        <v>0</v>
      </c>
      <c r="O11" t="str">
        <f t="shared" si="2"/>
        <v/>
      </c>
      <c r="P11">
        <f t="shared" si="3"/>
        <v>-1</v>
      </c>
      <c r="Q11">
        <f t="shared" si="4"/>
        <v>-1</v>
      </c>
      <c r="R11">
        <f t="shared" si="5"/>
        <v>-1</v>
      </c>
      <c r="S11">
        <f t="shared" si="6"/>
        <v>-1</v>
      </c>
      <c r="T11">
        <f t="shared" si="7"/>
        <v>-1</v>
      </c>
      <c r="U11">
        <f t="shared" si="8"/>
        <v>1</v>
      </c>
    </row>
    <row r="12" spans="1:21">
      <c r="A12" s="15" t="s">
        <v>146</v>
      </c>
      <c r="B12" s="9"/>
      <c r="C12" s="15">
        <f>SUMIF('В05 Пристрої'!$E$5:$E$25,A12,'В05 Пристрої'!$C$5:$C$25)</f>
        <v>0</v>
      </c>
      <c r="D12" s="9"/>
      <c r="E12" s="9"/>
      <c r="F12" s="9"/>
      <c r="G12" s="9"/>
      <c r="H12" s="9"/>
      <c r="I12" s="9"/>
      <c r="J12" s="9"/>
      <c r="K12" s="15" t="str">
        <f t="shared" si="0"/>
        <v/>
      </c>
      <c r="L12" s="15"/>
      <c r="N12">
        <f t="shared" si="1"/>
        <v>0</v>
      </c>
      <c r="O12" t="str">
        <f t="shared" si="2"/>
        <v/>
      </c>
      <c r="P12">
        <f t="shared" si="3"/>
        <v>-1</v>
      </c>
      <c r="Q12">
        <f t="shared" si="4"/>
        <v>-1</v>
      </c>
      <c r="R12">
        <f t="shared" si="5"/>
        <v>-1</v>
      </c>
      <c r="S12">
        <f t="shared" si="6"/>
        <v>-1</v>
      </c>
      <c r="T12">
        <f t="shared" si="7"/>
        <v>-1</v>
      </c>
      <c r="U12">
        <f t="shared" si="8"/>
        <v>1</v>
      </c>
    </row>
    <row r="13" spans="1:21">
      <c r="A13" s="15" t="s">
        <v>147</v>
      </c>
      <c r="B13" s="9"/>
      <c r="C13" s="15">
        <f>SUMIF('В05 Пристрої'!$E$5:$E$25,A13,'В05 Пристрої'!$C$5:$C$25)</f>
        <v>0</v>
      </c>
      <c r="D13" s="9"/>
      <c r="E13" s="9"/>
      <c r="F13" s="9"/>
      <c r="G13" s="9"/>
      <c r="H13" s="9"/>
      <c r="I13" s="9"/>
      <c r="J13" s="9"/>
      <c r="K13" s="15" t="str">
        <f t="shared" si="0"/>
        <v/>
      </c>
      <c r="L13" s="15"/>
      <c r="N13">
        <f t="shared" si="1"/>
        <v>0</v>
      </c>
      <c r="O13" t="str">
        <f t="shared" si="2"/>
        <v/>
      </c>
      <c r="P13">
        <f t="shared" si="3"/>
        <v>-1</v>
      </c>
      <c r="Q13">
        <f t="shared" si="4"/>
        <v>-1</v>
      </c>
      <c r="R13">
        <f t="shared" si="5"/>
        <v>-1</v>
      </c>
      <c r="S13">
        <f t="shared" si="6"/>
        <v>-1</v>
      </c>
      <c r="T13">
        <f t="shared" si="7"/>
        <v>-1</v>
      </c>
      <c r="U13">
        <f t="shared" si="8"/>
        <v>1</v>
      </c>
    </row>
    <row r="16" spans="1:21">
      <c r="B16" s="12" t="s">
        <v>148</v>
      </c>
    </row>
    <row r="17" spans="2:12">
      <c r="B17" s="6" t="s">
        <v>149</v>
      </c>
      <c r="C17" s="9"/>
    </row>
    <row r="18" spans="2:12">
      <c r="B18" s="6" t="s">
        <v>150</v>
      </c>
      <c r="C18" s="9"/>
    </row>
    <row r="20" spans="2:12" ht="25.5">
      <c r="B20" s="6" t="s">
        <v>151</v>
      </c>
      <c r="C20" s="9"/>
      <c r="L20" s="15" t="str">
        <f>IF(C20="","заповніть native VLAN",IF(NOT(AND(ISNUMBER(C20),C20&gt;=2,C20&lt;=254,C20=INT(C20))),"ціле число від 2 до 254",IF(COUNTIF($F$5:$F$13,C20)&gt;0,"native VLAN не має збігатися з VLAN зони",IF(AND(C17&lt;&gt;"",C18&lt;&gt;"",C20&gt;=C17,C20&lt;=C18),"native VLAN у зарезервованому діапазоні","ОК"))))</f>
        <v>заповніть native VLAN</v>
      </c>
    </row>
  </sheetData>
  <sheetProtection sheet="1" formatCells="0"/>
  <conditionalFormatting sqref="L5:L13">
    <cfRule type="expression" dxfId="45" priority="1">
      <formula>L5="ОК"</formula>
    </cfRule>
    <cfRule type="expression" dxfId="44" priority="2">
      <formula>AND(L5&lt;&gt;"",L5&lt;&gt;"ОК")</formula>
    </cfRule>
  </conditionalFormatting>
  <conditionalFormatting sqref="L20">
    <cfRule type="expression" dxfId="43" priority="3">
      <formula>L20="ОК"</formula>
    </cfRule>
    <cfRule type="expression" dxfId="42" priority="4">
      <formula>L20&lt;&gt;"ОК"</formula>
    </cfRule>
  </conditionalFormatting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B11"/>
  <sheetViews>
    <sheetView workbookViewId="0"/>
  </sheetViews>
  <sheetFormatPr defaultRowHeight="15"/>
  <cols>
    <col min="1" max="1" width="66" customWidth="1"/>
    <col min="2" max="2" width="22" customWidth="1"/>
  </cols>
  <sheetData>
    <row r="1" spans="1:2" ht="19.5">
      <c r="A1" s="3" t="s">
        <v>152</v>
      </c>
    </row>
    <row r="2" spans="1:2">
      <c r="A2" s="4" t="s">
        <v>153</v>
      </c>
    </row>
    <row r="4" spans="1:2">
      <c r="A4" s="15" t="s">
        <v>154</v>
      </c>
      <c r="B4" s="15">
        <f>SUM('В05 Пристрої'!C5:C25)</f>
        <v>97</v>
      </c>
    </row>
    <row r="5" spans="1:2">
      <c r="A5" s="15" t="s">
        <v>155</v>
      </c>
      <c r="B5" s="15">
        <f>COUNTIFS('В05 Пристрої'!C5:C25,"&gt;0",'В05 Пристрої'!E5:E25,"")</f>
        <v>16</v>
      </c>
    </row>
    <row r="6" spans="1:2">
      <c r="A6" s="15" t="s">
        <v>156</v>
      </c>
      <c r="B6" s="15">
        <f>COUNTIF('В05 Пристрої'!F5:F25,"тип*")</f>
        <v>0</v>
      </c>
    </row>
    <row r="7" spans="1:2">
      <c r="A7" s="15" t="s">
        <v>157</v>
      </c>
      <c r="B7" s="15">
        <f>COUNTIFS('В05 Зони й адреси'!L5:L13,"&lt;&gt;ОК",'В05 Зони й адреси'!C5:C13,"&gt;0")</f>
        <v>0</v>
      </c>
    </row>
    <row r="8" spans="1:2">
      <c r="A8" s="15" t="s">
        <v>158</v>
      </c>
      <c r="B8" s="15">
        <f>IF('В05 Зони й адреси'!L20="ОК",0,1)</f>
        <v>1</v>
      </c>
    </row>
    <row r="9" spans="1:2">
      <c r="A9" s="15" t="s">
        <v>159</v>
      </c>
      <c r="B9" s="15">
        <f>MAX(0,COUNTIF('В05 Пристрої'!D5:D25,"потребує рішення")-COUNTA('В05 Обґрунтування'!C5:C12))</f>
        <v>2</v>
      </c>
    </row>
    <row r="10" spans="1:2">
      <c r="A10" s="15" t="s">
        <v>160</v>
      </c>
      <c r="B10" s="15">
        <f>COUNTA('В05 Чернетка колеги'!A15:A17)</f>
        <v>0</v>
      </c>
    </row>
    <row r="11" spans="1:2">
      <c r="A11" s="15" t="s">
        <v>161</v>
      </c>
      <c r="B11" s="15" t="str">
        <f>IF(AND(B5=0,B6=0,B7=0,B8=0,B9=0,B10&gt;=3),"Можна здавати","Є що виправити")</f>
        <v>Є що виправити</v>
      </c>
    </row>
  </sheetData>
  <sheetProtection sheet="1" formatCells="0"/>
  <conditionalFormatting sqref="B11">
    <cfRule type="expression" dxfId="41" priority="1">
      <formula>B11="Можна здавати"</formula>
    </cfRule>
    <cfRule type="expression" dxfId="40" priority="2">
      <formula>B11&lt;&gt;"Можна здавати"</formula>
    </cfRule>
  </conditionalFormatting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C23"/>
  <sheetViews>
    <sheetView workbookViewId="0"/>
  </sheetViews>
  <sheetFormatPr defaultRowHeight="15"/>
  <cols>
    <col min="1" max="1" width="40" customWidth="1"/>
    <col min="2" max="2" width="14" customWidth="1"/>
    <col min="3" max="3" width="100" customWidth="1"/>
  </cols>
  <sheetData>
    <row r="1" spans="1:3" ht="19.5">
      <c r="A1" s="3" t="s">
        <v>162</v>
      </c>
    </row>
    <row r="2" spans="1:3">
      <c r="A2" s="4" t="s">
        <v>163</v>
      </c>
    </row>
    <row r="4" spans="1:3" ht="30" customHeight="1">
      <c r="A4" s="13" t="s">
        <v>164</v>
      </c>
      <c r="B4" s="13" t="s">
        <v>71</v>
      </c>
      <c r="C4" s="13" t="s">
        <v>165</v>
      </c>
    </row>
    <row r="5" spans="1:3">
      <c r="A5" s="15" t="s">
        <v>236</v>
      </c>
      <c r="B5" s="9"/>
      <c r="C5" s="9"/>
    </row>
    <row r="6" spans="1:3">
      <c r="A6" s="15" t="s">
        <v>237</v>
      </c>
      <c r="B6" s="9"/>
      <c r="C6" s="9"/>
    </row>
    <row r="7" spans="1:3">
      <c r="A7" s="9"/>
      <c r="B7" s="9"/>
      <c r="C7" s="9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9"/>
      <c r="B12" s="9"/>
      <c r="C12" s="9"/>
    </row>
    <row r="15" spans="1:3">
      <c r="A15" s="26" t="s">
        <v>166</v>
      </c>
      <c r="B15" s="21"/>
      <c r="C15" s="21"/>
    </row>
    <row r="16" spans="1:3" ht="39.950000000000003" customHeight="1">
      <c r="A16" s="19"/>
      <c r="B16" s="27"/>
      <c r="C16" s="28"/>
    </row>
    <row r="17" spans="1:3">
      <c r="A17" s="29"/>
      <c r="B17" s="30"/>
      <c r="C17" s="31"/>
    </row>
    <row r="18" spans="1:3">
      <c r="A18" s="26" t="s">
        <v>167</v>
      </c>
      <c r="B18" s="21"/>
      <c r="C18" s="21"/>
    </row>
    <row r="19" spans="1:3" ht="39.950000000000003" customHeight="1">
      <c r="A19" s="19"/>
      <c r="B19" s="27"/>
      <c r="C19" s="28"/>
    </row>
    <row r="20" spans="1:3">
      <c r="A20" s="29"/>
      <c r="B20" s="30"/>
      <c r="C20" s="31"/>
    </row>
    <row r="21" spans="1:3">
      <c r="A21" s="26" t="s">
        <v>168</v>
      </c>
      <c r="B21" s="21"/>
      <c r="C21" s="21"/>
    </row>
    <row r="22" spans="1:3" ht="39.950000000000003" customHeight="1">
      <c r="A22" s="19"/>
      <c r="B22" s="27"/>
      <c r="C22" s="28"/>
    </row>
    <row r="23" spans="1:3">
      <c r="A23" s="29"/>
      <c r="B23" s="30"/>
      <c r="C23" s="31"/>
    </row>
  </sheetData>
  <sheetProtection sheet="1" formatCells="0"/>
  <mergeCells count="6">
    <mergeCell ref="A15:C15"/>
    <mergeCell ref="A16:C17"/>
    <mergeCell ref="A19:C20"/>
    <mergeCell ref="A18:C18"/>
    <mergeCell ref="A22:C23"/>
    <mergeCell ref="A21:C2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BF8F00"/>
  </sheetPr>
  <dimension ref="A1:B16"/>
  <sheetViews>
    <sheetView workbookViewId="0"/>
  </sheetViews>
  <sheetFormatPr defaultRowHeight="15"/>
  <cols>
    <col min="1" max="1" width="26" customWidth="1"/>
    <col min="2" max="2" width="104" customWidth="1"/>
  </cols>
  <sheetData>
    <row r="1" spans="1:2" ht="19.5">
      <c r="A1" s="3" t="s">
        <v>250</v>
      </c>
    </row>
    <row r="2" spans="1:2">
      <c r="A2" s="4" t="s">
        <v>25</v>
      </c>
    </row>
    <row r="4" spans="1:2">
      <c r="A4" s="5" t="s">
        <v>26</v>
      </c>
      <c r="B4" s="6"/>
    </row>
    <row r="5" spans="1:2" ht="25.5">
      <c r="A5" s="7" t="s">
        <v>27</v>
      </c>
      <c r="B5" s="6" t="s">
        <v>28</v>
      </c>
    </row>
    <row r="6" spans="1:2" ht="25.5">
      <c r="A6" s="7" t="s">
        <v>29</v>
      </c>
      <c r="B6" s="6" t="s">
        <v>30</v>
      </c>
    </row>
    <row r="7" spans="1:2" ht="25.5">
      <c r="A7" s="7" t="s">
        <v>31</v>
      </c>
      <c r="B7" s="6" t="s">
        <v>32</v>
      </c>
    </row>
    <row r="8" spans="1:2">
      <c r="A8" s="7" t="s">
        <v>33</v>
      </c>
      <c r="B8" s="6" t="s">
        <v>34</v>
      </c>
    </row>
    <row r="9" spans="1:2" ht="25.5">
      <c r="A9" s="7" t="s">
        <v>35</v>
      </c>
      <c r="B9" s="6" t="s">
        <v>36</v>
      </c>
    </row>
    <row r="10" spans="1:2">
      <c r="A10" s="7" t="s">
        <v>37</v>
      </c>
      <c r="B10" s="6" t="s">
        <v>38</v>
      </c>
    </row>
    <row r="11" spans="1:2">
      <c r="A11" s="7"/>
      <c r="B11" s="6"/>
    </row>
    <row r="12" spans="1:2">
      <c r="A12" s="7" t="s">
        <v>39</v>
      </c>
      <c r="B12" s="6" t="s">
        <v>40</v>
      </c>
    </row>
    <row r="13" spans="1:2">
      <c r="A13" s="7" t="s">
        <v>41</v>
      </c>
      <c r="B13" s="6" t="s">
        <v>42</v>
      </c>
    </row>
    <row r="14" spans="1:2" ht="25.5">
      <c r="A14" s="7" t="s">
        <v>43</v>
      </c>
      <c r="B14" s="6" t="s">
        <v>44</v>
      </c>
    </row>
    <row r="15" spans="1:2" ht="25.5">
      <c r="A15" s="7" t="s">
        <v>45</v>
      </c>
      <c r="B15" s="6" t="s">
        <v>46</v>
      </c>
    </row>
    <row r="16" spans="1:2">
      <c r="A16" s="7" t="s">
        <v>47</v>
      </c>
      <c r="B16" s="6" t="s">
        <v>48</v>
      </c>
    </row>
  </sheetData>
  <sheetProtection sheet="1" formatCells="0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BF8F00"/>
  </sheetPr>
  <dimension ref="A1:B13"/>
  <sheetViews>
    <sheetView workbookViewId="0"/>
  </sheetViews>
  <sheetFormatPr defaultRowHeight="15"/>
  <cols>
    <col min="1" max="1" width="36" customWidth="1"/>
    <col min="2" max="2" width="70" customWidth="1"/>
  </cols>
  <sheetData>
    <row r="1" spans="1:2" ht="19.5">
      <c r="A1" s="3" t="s">
        <v>251</v>
      </c>
    </row>
    <row r="3" spans="1:2">
      <c r="A3" s="8" t="s">
        <v>50</v>
      </c>
      <c r="B3" s="9"/>
    </row>
    <row r="4" spans="1:2">
      <c r="A4" s="8" t="s">
        <v>51</v>
      </c>
      <c r="B4" s="10" t="s">
        <v>252</v>
      </c>
    </row>
    <row r="5" spans="1:2">
      <c r="A5" s="8" t="s">
        <v>53</v>
      </c>
      <c r="B5" s="10">
        <v>124</v>
      </c>
    </row>
    <row r="6" spans="1:2">
      <c r="A6" s="8" t="s">
        <v>54</v>
      </c>
      <c r="B6" s="10" t="s">
        <v>172</v>
      </c>
    </row>
    <row r="7" spans="1:2" ht="25.5">
      <c r="A7" s="8" t="s">
        <v>56</v>
      </c>
      <c r="B7" s="10" t="s">
        <v>253</v>
      </c>
    </row>
    <row r="8" spans="1:2" ht="25.5">
      <c r="A8" s="8" t="s">
        <v>58</v>
      </c>
      <c r="B8" s="10" t="s">
        <v>254</v>
      </c>
    </row>
    <row r="10" spans="1:2" ht="15.75">
      <c r="A10" s="11" t="s">
        <v>60</v>
      </c>
    </row>
    <row r="11" spans="1:2">
      <c r="A11" s="18" t="s">
        <v>61</v>
      </c>
      <c r="B11" s="21"/>
    </row>
    <row r="12" spans="1:2">
      <c r="A12" s="21"/>
      <c r="B12" s="21"/>
    </row>
    <row r="13" spans="1:2">
      <c r="A13" s="21"/>
      <c r="B13" s="21"/>
    </row>
  </sheetData>
  <sheetProtection sheet="1" formatCells="0"/>
  <mergeCells count="1">
    <mergeCell ref="A11:B1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BF8F00"/>
  </sheetPr>
  <dimension ref="A1:I25"/>
  <sheetViews>
    <sheetView workbookViewId="0"/>
  </sheetViews>
  <sheetFormatPr defaultRowHeight="15"/>
  <cols>
    <col min="1" max="1" width="5" customWidth="1"/>
    <col min="2" max="2" width="56" customWidth="1"/>
    <col min="3" max="3" width="11" customWidth="1"/>
    <col min="4" max="4" width="24" customWidth="1"/>
    <col min="5" max="5" width="16" customWidth="1"/>
    <col min="6" max="6" width="40" customWidth="1"/>
    <col min="7" max="7" width="3" customWidth="1"/>
    <col min="8" max="8" width="24" customWidth="1"/>
    <col min="9" max="9" width="14" customWidth="1"/>
  </cols>
  <sheetData>
    <row r="1" spans="1:9" ht="19.5">
      <c r="A1" s="3" t="s">
        <v>62</v>
      </c>
    </row>
    <row r="2" spans="1:9">
      <c r="A2" s="4" t="s">
        <v>63</v>
      </c>
    </row>
    <row r="3" spans="1:9">
      <c r="H3" s="12" t="s">
        <v>64</v>
      </c>
    </row>
    <row r="4" spans="1:9" ht="39.950000000000003" customHeight="1">
      <c r="A4" s="13" t="s">
        <v>65</v>
      </c>
      <c r="B4" s="13" t="s">
        <v>66</v>
      </c>
      <c r="C4" s="13" t="s">
        <v>67</v>
      </c>
      <c r="D4" s="13" t="s">
        <v>68</v>
      </c>
      <c r="E4" s="13" t="s">
        <v>69</v>
      </c>
      <c r="F4" s="13" t="s">
        <v>70</v>
      </c>
      <c r="H4" s="14" t="s">
        <v>68</v>
      </c>
      <c r="I4" s="14" t="s">
        <v>71</v>
      </c>
    </row>
    <row r="5" spans="1:9">
      <c r="A5" s="15">
        <v>1</v>
      </c>
      <c r="B5" s="15" t="s">
        <v>72</v>
      </c>
      <c r="C5" s="15">
        <v>5</v>
      </c>
      <c r="D5" s="15" t="s">
        <v>73</v>
      </c>
      <c r="E5" s="9"/>
      <c r="F5" s="15" t="str">
        <f t="shared" ref="F5:F25" si="0">IF(C5="","",IF(D5="","вкажіть тип",IF(E5="","призначте зону",IF(D5="потребує рішення","рішення поясніть на аркуші «Обґрунтування»",IF(IFERROR(VLOOKUP(D5,$H$5:$I$11,2,FALSE),"?")=E5,"ОК","тип пристрою не відповідає зоні")))))</f>
        <v>призначте зону</v>
      </c>
      <c r="H5" s="15" t="s">
        <v>73</v>
      </c>
      <c r="I5" s="15" t="s">
        <v>74</v>
      </c>
    </row>
    <row r="6" spans="1:9">
      <c r="A6" s="15">
        <v>2</v>
      </c>
      <c r="B6" s="15" t="s">
        <v>75</v>
      </c>
      <c r="C6" s="15">
        <v>2</v>
      </c>
      <c r="D6" s="15" t="s">
        <v>73</v>
      </c>
      <c r="E6" s="9"/>
      <c r="F6" s="15" t="str">
        <f t="shared" si="0"/>
        <v>призначте зону</v>
      </c>
      <c r="H6" s="15" t="s">
        <v>76</v>
      </c>
      <c r="I6" s="15" t="s">
        <v>77</v>
      </c>
    </row>
    <row r="7" spans="1:9">
      <c r="A7" s="15">
        <v>3</v>
      </c>
      <c r="B7" s="15" t="s">
        <v>78</v>
      </c>
      <c r="C7" s="15">
        <v>5</v>
      </c>
      <c r="D7" s="15" t="s">
        <v>76</v>
      </c>
      <c r="E7" s="9"/>
      <c r="F7" s="15" t="str">
        <f t="shared" si="0"/>
        <v>призначте зону</v>
      </c>
      <c r="H7" s="15" t="s">
        <v>79</v>
      </c>
      <c r="I7" s="15" t="s">
        <v>80</v>
      </c>
    </row>
    <row r="8" spans="1:9">
      <c r="A8" s="15">
        <v>4</v>
      </c>
      <c r="B8" s="15" t="s">
        <v>81</v>
      </c>
      <c r="C8" s="15">
        <v>4</v>
      </c>
      <c r="D8" s="15" t="s">
        <v>79</v>
      </c>
      <c r="E8" s="9"/>
      <c r="F8" s="15" t="str">
        <f t="shared" si="0"/>
        <v>призначте зону</v>
      </c>
      <c r="H8" s="15" t="s">
        <v>82</v>
      </c>
      <c r="I8" s="15" t="s">
        <v>83</v>
      </c>
    </row>
    <row r="9" spans="1:9">
      <c r="A9" s="15">
        <v>5</v>
      </c>
      <c r="B9" s="15" t="s">
        <v>84</v>
      </c>
      <c r="C9" s="15">
        <v>2</v>
      </c>
      <c r="D9" s="15" t="s">
        <v>82</v>
      </c>
      <c r="E9" s="9"/>
      <c r="F9" s="15" t="str">
        <f t="shared" si="0"/>
        <v>призначте зону</v>
      </c>
      <c r="H9" s="15" t="s">
        <v>85</v>
      </c>
      <c r="I9" s="15" t="s">
        <v>86</v>
      </c>
    </row>
    <row r="10" spans="1:9">
      <c r="A10" s="15">
        <v>6</v>
      </c>
      <c r="B10" s="15" t="s">
        <v>87</v>
      </c>
      <c r="C10" s="15">
        <v>6</v>
      </c>
      <c r="D10" s="15" t="s">
        <v>82</v>
      </c>
      <c r="E10" s="9"/>
      <c r="F10" s="15" t="str">
        <f t="shared" si="0"/>
        <v>призначте зону</v>
      </c>
      <c r="H10" s="15" t="s">
        <v>88</v>
      </c>
      <c r="I10" s="15" t="s">
        <v>89</v>
      </c>
    </row>
    <row r="11" spans="1:9">
      <c r="A11" s="15">
        <v>7</v>
      </c>
      <c r="B11" s="15" t="s">
        <v>90</v>
      </c>
      <c r="C11" s="15">
        <v>11</v>
      </c>
      <c r="D11" s="15" t="s">
        <v>85</v>
      </c>
      <c r="E11" s="9"/>
      <c r="F11" s="15" t="str">
        <f t="shared" si="0"/>
        <v>призначте зону</v>
      </c>
      <c r="H11" s="15" t="s">
        <v>91</v>
      </c>
      <c r="I11" s="15" t="s">
        <v>92</v>
      </c>
    </row>
    <row r="12" spans="1:9">
      <c r="A12" s="15">
        <v>8</v>
      </c>
      <c r="B12" s="15" t="s">
        <v>93</v>
      </c>
      <c r="C12" s="15">
        <v>4</v>
      </c>
      <c r="D12" s="15" t="s">
        <v>85</v>
      </c>
      <c r="E12" s="9"/>
      <c r="F12" s="15" t="str">
        <f t="shared" si="0"/>
        <v>призначте зону</v>
      </c>
      <c r="H12" s="16" t="s">
        <v>94</v>
      </c>
    </row>
    <row r="13" spans="1:9">
      <c r="A13" s="15">
        <v>9</v>
      </c>
      <c r="B13" s="15" t="s">
        <v>95</v>
      </c>
      <c r="C13" s="15">
        <v>4</v>
      </c>
      <c r="D13" s="15" t="s">
        <v>85</v>
      </c>
      <c r="E13" s="9"/>
      <c r="F13" s="15" t="str">
        <f t="shared" si="0"/>
        <v>призначте зону</v>
      </c>
    </row>
    <row r="14" spans="1:9">
      <c r="A14" s="15">
        <v>10</v>
      </c>
      <c r="B14" s="15" t="s">
        <v>96</v>
      </c>
      <c r="C14" s="15">
        <v>70</v>
      </c>
      <c r="D14" s="15" t="s">
        <v>88</v>
      </c>
      <c r="E14" s="9"/>
      <c r="F14" s="15" t="str">
        <f t="shared" si="0"/>
        <v>призначте зону</v>
      </c>
    </row>
    <row r="15" spans="1:9">
      <c r="A15" s="15">
        <v>11</v>
      </c>
      <c r="B15" s="15" t="s">
        <v>97</v>
      </c>
      <c r="C15" s="15">
        <v>3</v>
      </c>
      <c r="D15" s="15" t="s">
        <v>91</v>
      </c>
      <c r="E15" s="9"/>
      <c r="F15" s="15" t="str">
        <f t="shared" si="0"/>
        <v>призначте зону</v>
      </c>
    </row>
    <row r="16" spans="1:9">
      <c r="A16" s="15">
        <v>12</v>
      </c>
      <c r="B16" s="15" t="s">
        <v>98</v>
      </c>
      <c r="C16" s="15">
        <v>2</v>
      </c>
      <c r="D16" s="15" t="s">
        <v>91</v>
      </c>
      <c r="E16" s="9"/>
      <c r="F16" s="15" t="str">
        <f t="shared" si="0"/>
        <v>призначте зону</v>
      </c>
    </row>
    <row r="17" spans="1:6">
      <c r="A17" s="15">
        <v>13</v>
      </c>
      <c r="B17" s="15" t="s">
        <v>99</v>
      </c>
      <c r="C17" s="15">
        <v>2</v>
      </c>
      <c r="D17" s="15" t="s">
        <v>91</v>
      </c>
      <c r="E17" s="9"/>
      <c r="F17" s="15" t="str">
        <f t="shared" si="0"/>
        <v>призначте зону</v>
      </c>
    </row>
    <row r="18" spans="1:6">
      <c r="A18" s="15">
        <v>14</v>
      </c>
      <c r="B18" s="15" t="s">
        <v>100</v>
      </c>
      <c r="C18" s="15">
        <v>2</v>
      </c>
      <c r="D18" s="15" t="s">
        <v>91</v>
      </c>
      <c r="E18" s="9"/>
      <c r="F18" s="15" t="str">
        <f t="shared" si="0"/>
        <v>призначте зону</v>
      </c>
    </row>
    <row r="19" spans="1:6">
      <c r="A19" s="15">
        <v>15</v>
      </c>
      <c r="B19" s="15" t="s">
        <v>101</v>
      </c>
      <c r="C19" s="15">
        <v>1</v>
      </c>
      <c r="D19" s="15" t="s">
        <v>102</v>
      </c>
      <c r="E19" s="9"/>
      <c r="F19" s="15" t="str">
        <f t="shared" si="0"/>
        <v>призначте зону</v>
      </c>
    </row>
    <row r="20" spans="1:6">
      <c r="A20" s="15">
        <v>16</v>
      </c>
      <c r="B20" s="15" t="s">
        <v>176</v>
      </c>
      <c r="C20" s="15">
        <v>1</v>
      </c>
      <c r="D20" s="15" t="s">
        <v>102</v>
      </c>
      <c r="E20" s="9"/>
      <c r="F20" s="15" t="str">
        <f t="shared" si="0"/>
        <v>призначте зону</v>
      </c>
    </row>
    <row r="21" spans="1:6">
      <c r="A21" s="17">
        <v>17</v>
      </c>
      <c r="B21" s="9"/>
      <c r="C21" s="9"/>
      <c r="D21" s="9"/>
      <c r="E21" s="9"/>
      <c r="F21" s="15" t="str">
        <f t="shared" si="0"/>
        <v/>
      </c>
    </row>
    <row r="22" spans="1:6">
      <c r="A22" s="17">
        <v>18</v>
      </c>
      <c r="B22" s="9"/>
      <c r="C22" s="9"/>
      <c r="D22" s="9"/>
      <c r="E22" s="9"/>
      <c r="F22" s="15" t="str">
        <f t="shared" si="0"/>
        <v/>
      </c>
    </row>
    <row r="23" spans="1:6">
      <c r="A23" s="17">
        <v>19</v>
      </c>
      <c r="B23" s="9"/>
      <c r="C23" s="9"/>
      <c r="D23" s="9"/>
      <c r="E23" s="9"/>
      <c r="F23" s="15" t="str">
        <f t="shared" si="0"/>
        <v/>
      </c>
    </row>
    <row r="24" spans="1:6">
      <c r="A24" s="17">
        <v>20</v>
      </c>
      <c r="B24" s="9"/>
      <c r="C24" s="9"/>
      <c r="D24" s="9"/>
      <c r="E24" s="9"/>
      <c r="F24" s="15" t="str">
        <f t="shared" si="0"/>
        <v/>
      </c>
    </row>
    <row r="25" spans="1:6">
      <c r="A25" s="17">
        <v>21</v>
      </c>
      <c r="B25" s="9"/>
      <c r="C25" s="9"/>
      <c r="D25" s="9"/>
      <c r="E25" s="9"/>
      <c r="F25" s="15" t="str">
        <f t="shared" si="0"/>
        <v/>
      </c>
    </row>
  </sheetData>
  <sheetProtection sheet="1" formatCells="0"/>
  <conditionalFormatting sqref="F5:F25">
    <cfRule type="expression" dxfId="39" priority="1">
      <formula>F5="ОК"</formula>
    </cfRule>
    <cfRule type="expression" dxfId="38" priority="2">
      <formula>OR(LEFT(F5,3)="тип",F5="призначте зону",F5="вкажіть тип")</formula>
    </cfRule>
  </conditionalFormatting>
  <dataValidations count="2">
    <dataValidation type="list" allowBlank="1" sqref="E5:E25" xr:uid="{00000000-0002-0000-2600-000000000000}">
      <formula1>"KASA,MANAGERS,ABS,ATM_POS,IOT,GUEST,MGMT,NEW1,NEW2"</formula1>
    </dataValidation>
    <dataValidation type="list" allowBlank="1" sqref="D21:D25" xr:uid="{00000000-0002-0000-2600-000001000000}">
      <formula1>"каса,менеджер,АБС,платіжний пристрій,без користувача,клієнтські пристрої,мережеве обладнання,потребує рішення"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BF8F00"/>
  </sheetPr>
  <dimension ref="A1:G17"/>
  <sheetViews>
    <sheetView workbookViewId="0"/>
  </sheetViews>
  <sheetFormatPr defaultRowHeight="15"/>
  <cols>
    <col min="1" max="1" width="6" customWidth="1"/>
    <col min="2" max="2" width="26" customWidth="1"/>
    <col min="3" max="3" width="14" customWidth="1"/>
    <col min="4" max="4" width="9" customWidth="1"/>
    <col min="5" max="5" width="20" customWidth="1"/>
    <col min="6" max="6" width="10" customWidth="1"/>
    <col min="7" max="7" width="20" customWidth="1"/>
  </cols>
  <sheetData>
    <row r="1" spans="1:7" ht="19.5">
      <c r="A1" s="3" t="s">
        <v>104</v>
      </c>
    </row>
    <row r="2" spans="1:7">
      <c r="A2" s="4" t="s">
        <v>105</v>
      </c>
    </row>
    <row r="4" spans="1:7" ht="39.950000000000003" customHeight="1">
      <c r="A4" s="13" t="s">
        <v>65</v>
      </c>
      <c r="B4" s="13" t="s">
        <v>71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47</v>
      </c>
    </row>
    <row r="5" spans="1:7">
      <c r="A5" s="15">
        <v>1</v>
      </c>
      <c r="B5" s="15" t="s">
        <v>110</v>
      </c>
      <c r="C5" s="15">
        <v>10</v>
      </c>
      <c r="D5" s="15">
        <v>20</v>
      </c>
      <c r="E5" s="15" t="s">
        <v>255</v>
      </c>
      <c r="F5" s="15" t="s">
        <v>116</v>
      </c>
      <c r="G5" s="15" t="s">
        <v>256</v>
      </c>
    </row>
    <row r="6" spans="1:7">
      <c r="A6" s="15">
        <v>2</v>
      </c>
      <c r="B6" s="15" t="s">
        <v>114</v>
      </c>
      <c r="C6" s="15">
        <v>8</v>
      </c>
      <c r="D6" s="15">
        <v>30</v>
      </c>
      <c r="E6" s="15" t="s">
        <v>257</v>
      </c>
      <c r="F6" s="15" t="s">
        <v>112</v>
      </c>
      <c r="G6" s="15" t="s">
        <v>258</v>
      </c>
    </row>
    <row r="7" spans="1:7">
      <c r="A7" s="15">
        <v>3</v>
      </c>
      <c r="B7" s="15" t="s">
        <v>118</v>
      </c>
      <c r="C7" s="15">
        <v>6</v>
      </c>
      <c r="D7" s="15">
        <v>1</v>
      </c>
      <c r="E7" s="15" t="s">
        <v>259</v>
      </c>
      <c r="F7" s="15" t="s">
        <v>116</v>
      </c>
      <c r="G7" s="15" t="s">
        <v>260</v>
      </c>
    </row>
    <row r="8" spans="1:7">
      <c r="A8" s="15">
        <v>4</v>
      </c>
      <c r="B8" s="15" t="s">
        <v>122</v>
      </c>
      <c r="C8" s="15">
        <v>13</v>
      </c>
      <c r="D8" s="15">
        <v>50</v>
      </c>
      <c r="E8" s="15" t="s">
        <v>261</v>
      </c>
      <c r="F8" s="15" t="s">
        <v>112</v>
      </c>
      <c r="G8" s="15" t="s">
        <v>262</v>
      </c>
    </row>
    <row r="9" spans="1:7">
      <c r="A9" s="15">
        <v>5</v>
      </c>
      <c r="B9" s="15" t="s">
        <v>125</v>
      </c>
      <c r="C9" s="15">
        <v>28</v>
      </c>
      <c r="D9" s="15">
        <v>60</v>
      </c>
      <c r="E9" s="15" t="s">
        <v>263</v>
      </c>
      <c r="F9" s="15" t="s">
        <v>184</v>
      </c>
      <c r="G9" s="15" t="s">
        <v>264</v>
      </c>
    </row>
    <row r="10" spans="1:7">
      <c r="A10" s="15">
        <v>6</v>
      </c>
      <c r="B10" s="15" t="s">
        <v>129</v>
      </c>
      <c r="C10" s="15">
        <v>106</v>
      </c>
      <c r="D10" s="15">
        <v>70</v>
      </c>
      <c r="E10" s="15" t="s">
        <v>265</v>
      </c>
      <c r="F10" s="15" t="s">
        <v>187</v>
      </c>
      <c r="G10" s="15" t="s">
        <v>266</v>
      </c>
    </row>
    <row r="11" spans="1:7">
      <c r="A11" s="15">
        <v>7</v>
      </c>
      <c r="B11" s="15" t="s">
        <v>132</v>
      </c>
      <c r="C11" s="15">
        <v>13</v>
      </c>
      <c r="D11" s="15">
        <v>80</v>
      </c>
      <c r="E11" s="15" t="s">
        <v>267</v>
      </c>
      <c r="F11" s="15" t="s">
        <v>112</v>
      </c>
      <c r="G11" s="15" t="s">
        <v>268</v>
      </c>
    </row>
    <row r="13" spans="1:7" ht="15.75">
      <c r="A13" s="11" t="s">
        <v>133</v>
      </c>
    </row>
    <row r="14" spans="1:7" ht="27.95" customHeight="1">
      <c r="A14" s="13" t="s">
        <v>134</v>
      </c>
      <c r="B14" s="13" t="s">
        <v>135</v>
      </c>
      <c r="C14" s="20" t="s">
        <v>136</v>
      </c>
      <c r="D14" s="22"/>
      <c r="E14" s="22"/>
      <c r="F14" s="22"/>
      <c r="G14" s="23"/>
    </row>
    <row r="15" spans="1:7">
      <c r="A15" s="9"/>
      <c r="B15" s="9"/>
      <c r="C15" s="19"/>
      <c r="D15" s="24"/>
      <c r="E15" s="24"/>
      <c r="F15" s="24"/>
      <c r="G15" s="25"/>
    </row>
    <row r="16" spans="1:7">
      <c r="A16" s="9"/>
      <c r="B16" s="9"/>
      <c r="C16" s="19"/>
      <c r="D16" s="24"/>
      <c r="E16" s="24"/>
      <c r="F16" s="24"/>
      <c r="G16" s="25"/>
    </row>
    <row r="17" spans="1:7">
      <c r="A17" s="9"/>
      <c r="B17" s="9"/>
      <c r="C17" s="19"/>
      <c r="D17" s="24"/>
      <c r="E17" s="24"/>
      <c r="F17" s="24"/>
      <c r="G17" s="25"/>
    </row>
  </sheetData>
  <sheetProtection sheet="1" formatCells="0"/>
  <mergeCells count="4">
    <mergeCell ref="C16:G16"/>
    <mergeCell ref="C15:G15"/>
    <mergeCell ref="C17:G17"/>
    <mergeCell ref="C14:G1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BF8F00"/>
  </sheetPr>
  <dimension ref="A1:U20"/>
  <sheetViews>
    <sheetView workbookViewId="0"/>
  </sheetViews>
  <sheetFormatPr defaultRowHeight="15"/>
  <cols>
    <col min="1" max="1" width="11" customWidth="1"/>
    <col min="2" max="2" width="22" customWidth="1"/>
    <col min="3" max="3" width="10" customWidth="1"/>
    <col min="4" max="4" width="11" customWidth="1"/>
    <col min="5" max="5" width="13" customWidth="1"/>
    <col min="6" max="6" width="8" customWidth="1"/>
    <col min="7" max="8" width="16" customWidth="1"/>
    <col min="9" max="9" width="9" customWidth="1"/>
    <col min="10" max="10" width="16" customWidth="1"/>
    <col min="11" max="11" width="10" customWidth="1"/>
    <col min="12" max="12" width="56" customWidth="1"/>
    <col min="14" max="21" width="13" hidden="1" customWidth="1"/>
  </cols>
  <sheetData>
    <row r="1" spans="1:21" ht="19.5">
      <c r="A1" s="3" t="s">
        <v>137</v>
      </c>
    </row>
    <row r="2" spans="1:21">
      <c r="A2" s="4" t="s">
        <v>138</v>
      </c>
    </row>
    <row r="4" spans="1:21" ht="54" customHeight="1">
      <c r="A4" s="13" t="s">
        <v>139</v>
      </c>
      <c r="B4" s="13" t="s">
        <v>140</v>
      </c>
      <c r="C4" s="13" t="s">
        <v>141</v>
      </c>
      <c r="D4" s="13" t="s">
        <v>58</v>
      </c>
      <c r="E4" s="13" t="s">
        <v>142</v>
      </c>
      <c r="F4" s="13" t="s">
        <v>107</v>
      </c>
      <c r="G4" s="13" t="s">
        <v>143</v>
      </c>
      <c r="H4" s="13" t="s">
        <v>108</v>
      </c>
      <c r="I4" s="13" t="s">
        <v>144</v>
      </c>
      <c r="J4" s="13" t="s">
        <v>47</v>
      </c>
      <c r="K4" s="13" t="s">
        <v>145</v>
      </c>
      <c r="L4" s="13" t="s">
        <v>70</v>
      </c>
    </row>
    <row r="5" spans="1:21">
      <c r="A5" s="15" t="s">
        <v>74</v>
      </c>
      <c r="B5" s="15" t="s">
        <v>110</v>
      </c>
      <c r="C5" s="15">
        <f>SUMIF('В06 Пристрої'!$E$5:$E$25,A5,'В06 Пристрої'!$C$5:$C$25)</f>
        <v>0</v>
      </c>
      <c r="D5" s="15">
        <v>10</v>
      </c>
      <c r="E5" s="9"/>
      <c r="F5" s="9"/>
      <c r="G5" s="9"/>
      <c r="H5" s="9"/>
      <c r="I5" s="9"/>
      <c r="J5" s="9"/>
      <c r="K5" s="15" t="str">
        <f t="shared" ref="K5:K13" si="0">IF(OR(I5="",NOT(ISNUMBER(I5))),"",2^(32-I5)-2)</f>
        <v/>
      </c>
      <c r="L5" s="15"/>
      <c r="N5">
        <f t="shared" ref="N5:N13" si="1">IF(C5=0,0,ROUNDUP(ROUND(C5*(1+D5/100),6),0)+1)</f>
        <v>0</v>
      </c>
      <c r="O5" t="str">
        <f t="shared" ref="O5:O13" si="2">IF(N5=0,"",32-MAX(2,ROUNDUP(LOG(N5+2,2)-0.000001,0)))</f>
        <v/>
      </c>
      <c r="P5">
        <f t="shared" ref="P5:P13" si="3">IFERROR(VALUE(LEFT(H5,FIND(".",H5)-1)),-1)</f>
        <v>-1</v>
      </c>
      <c r="Q5">
        <f t="shared" ref="Q5:Q13" si="4">IFERROR(VALUE(MID(H5,FIND(".",H5)+1,FIND("#",SUBSTITUTE(H5,".","#",2))-FIND(".",H5)-1)),-1)</f>
        <v>-1</v>
      </c>
      <c r="R5">
        <f t="shared" ref="R5:R13" si="5">IFERROR(VALUE(MID(H5,FIND("#",SUBSTITUTE(H5,".","#",2))+1,FIND("#",SUBSTITUTE(H5,".","#",3))-FIND("#",SUBSTITUTE(H5,".","#",2))-1)),-1)</f>
        <v>-1</v>
      </c>
      <c r="S5">
        <f t="shared" ref="S5:S13" si="6">IFERROR(VALUE(MID(H5,FIND("#",SUBSTITUTE(H5,".","#",3))+1,3)),-1)</f>
        <v>-1</v>
      </c>
      <c r="T5">
        <f t="shared" ref="T5:T13" si="7">IFERROR(VALUE(MID(J5,FIND("#",SUBSTITUTE(J5,".","#",3))+1,3)),-1)</f>
        <v>-1</v>
      </c>
      <c r="U5">
        <f t="shared" ref="U5:U13" si="8">IF(IFERROR(LEFT(H5,FIND("#",SUBSTITUTE(H5,".","#",3))),"")=IFERROR(LEFT(J5,FIND("#",SUBSTITUTE(J5,".","#",3))),""),1,0)</f>
        <v>1</v>
      </c>
    </row>
    <row r="6" spans="1:21">
      <c r="A6" s="15" t="s">
        <v>77</v>
      </c>
      <c r="B6" s="15" t="s">
        <v>114</v>
      </c>
      <c r="C6" s="15">
        <f>SUMIF('В06 Пристрої'!$E$5:$E$25,A6,'В06 Пристрої'!$C$5:$C$25)</f>
        <v>0</v>
      </c>
      <c r="D6" s="15">
        <v>30</v>
      </c>
      <c r="E6" s="9"/>
      <c r="F6" s="9"/>
      <c r="G6" s="9"/>
      <c r="H6" s="9"/>
      <c r="I6" s="9"/>
      <c r="J6" s="9"/>
      <c r="K6" s="15" t="str">
        <f t="shared" si="0"/>
        <v/>
      </c>
      <c r="L6" s="15"/>
      <c r="N6">
        <f t="shared" si="1"/>
        <v>0</v>
      </c>
      <c r="O6" t="str">
        <f t="shared" si="2"/>
        <v/>
      </c>
      <c r="P6">
        <f t="shared" si="3"/>
        <v>-1</v>
      </c>
      <c r="Q6">
        <f t="shared" si="4"/>
        <v>-1</v>
      </c>
      <c r="R6">
        <f t="shared" si="5"/>
        <v>-1</v>
      </c>
      <c r="S6">
        <f t="shared" si="6"/>
        <v>-1</v>
      </c>
      <c r="T6">
        <f t="shared" si="7"/>
        <v>-1</v>
      </c>
      <c r="U6">
        <f t="shared" si="8"/>
        <v>1</v>
      </c>
    </row>
    <row r="7" spans="1:21">
      <c r="A7" s="15" t="s">
        <v>80</v>
      </c>
      <c r="B7" s="15" t="s">
        <v>118</v>
      </c>
      <c r="C7" s="15">
        <f>SUMIF('В06 Пристрої'!$E$5:$E$25,A7,'В06 Пристрої'!$C$5:$C$25)</f>
        <v>0</v>
      </c>
      <c r="D7" s="15">
        <v>25</v>
      </c>
      <c r="E7" s="9"/>
      <c r="F7" s="9"/>
      <c r="G7" s="9"/>
      <c r="H7" s="9"/>
      <c r="I7" s="9"/>
      <c r="J7" s="9"/>
      <c r="K7" s="15" t="str">
        <f t="shared" si="0"/>
        <v/>
      </c>
      <c r="L7" s="15"/>
      <c r="N7">
        <f t="shared" si="1"/>
        <v>0</v>
      </c>
      <c r="O7" t="str">
        <f t="shared" si="2"/>
        <v/>
      </c>
      <c r="P7">
        <f t="shared" si="3"/>
        <v>-1</v>
      </c>
      <c r="Q7">
        <f t="shared" si="4"/>
        <v>-1</v>
      </c>
      <c r="R7">
        <f t="shared" si="5"/>
        <v>-1</v>
      </c>
      <c r="S7">
        <f t="shared" si="6"/>
        <v>-1</v>
      </c>
      <c r="T7">
        <f t="shared" si="7"/>
        <v>-1</v>
      </c>
      <c r="U7">
        <f t="shared" si="8"/>
        <v>1</v>
      </c>
    </row>
    <row r="8" spans="1:21">
      <c r="A8" s="15" t="s">
        <v>83</v>
      </c>
      <c r="B8" s="15" t="s">
        <v>122</v>
      </c>
      <c r="C8" s="15">
        <f>SUMIF('В06 Пристрої'!$E$5:$E$25,A8,'В06 Пристрої'!$C$5:$C$25)</f>
        <v>0</v>
      </c>
      <c r="D8" s="15">
        <v>30</v>
      </c>
      <c r="E8" s="9"/>
      <c r="F8" s="9"/>
      <c r="G8" s="9"/>
      <c r="H8" s="9"/>
      <c r="I8" s="9"/>
      <c r="J8" s="9"/>
      <c r="K8" s="15" t="str">
        <f t="shared" si="0"/>
        <v/>
      </c>
      <c r="L8" s="15"/>
      <c r="N8">
        <f t="shared" si="1"/>
        <v>0</v>
      </c>
      <c r="O8" t="str">
        <f t="shared" si="2"/>
        <v/>
      </c>
      <c r="P8">
        <f t="shared" si="3"/>
        <v>-1</v>
      </c>
      <c r="Q8">
        <f t="shared" si="4"/>
        <v>-1</v>
      </c>
      <c r="R8">
        <f t="shared" si="5"/>
        <v>-1</v>
      </c>
      <c r="S8">
        <f t="shared" si="6"/>
        <v>-1</v>
      </c>
      <c r="T8">
        <f t="shared" si="7"/>
        <v>-1</v>
      </c>
      <c r="U8">
        <f t="shared" si="8"/>
        <v>1</v>
      </c>
    </row>
    <row r="9" spans="1:21">
      <c r="A9" s="15" t="s">
        <v>86</v>
      </c>
      <c r="B9" s="15" t="s">
        <v>125</v>
      </c>
      <c r="C9" s="15">
        <f>SUMIF('В06 Пристрої'!$E$5:$E$25,A9,'В06 Пристрої'!$C$5:$C$25)</f>
        <v>0</v>
      </c>
      <c r="D9" s="15">
        <v>40</v>
      </c>
      <c r="E9" s="9"/>
      <c r="F9" s="9"/>
      <c r="G9" s="9"/>
      <c r="H9" s="9"/>
      <c r="I9" s="9"/>
      <c r="J9" s="9"/>
      <c r="K9" s="15" t="str">
        <f t="shared" si="0"/>
        <v/>
      </c>
      <c r="L9" s="15"/>
      <c r="N9">
        <f t="shared" si="1"/>
        <v>0</v>
      </c>
      <c r="O9" t="str">
        <f t="shared" si="2"/>
        <v/>
      </c>
      <c r="P9">
        <f t="shared" si="3"/>
        <v>-1</v>
      </c>
      <c r="Q9">
        <f t="shared" si="4"/>
        <v>-1</v>
      </c>
      <c r="R9">
        <f t="shared" si="5"/>
        <v>-1</v>
      </c>
      <c r="S9">
        <f t="shared" si="6"/>
        <v>-1</v>
      </c>
      <c r="T9">
        <f t="shared" si="7"/>
        <v>-1</v>
      </c>
      <c r="U9">
        <f t="shared" si="8"/>
        <v>1</v>
      </c>
    </row>
    <row r="10" spans="1:21">
      <c r="A10" s="15" t="s">
        <v>89</v>
      </c>
      <c r="B10" s="15" t="s">
        <v>129</v>
      </c>
      <c r="C10" s="15">
        <f>SUMIF('В06 Пристрої'!$E$5:$E$25,A10,'В06 Пристрої'!$C$5:$C$25)</f>
        <v>0</v>
      </c>
      <c r="D10" s="15">
        <v>50</v>
      </c>
      <c r="E10" s="9"/>
      <c r="F10" s="9"/>
      <c r="G10" s="9"/>
      <c r="H10" s="9"/>
      <c r="I10" s="9"/>
      <c r="J10" s="9"/>
      <c r="K10" s="15" t="str">
        <f t="shared" si="0"/>
        <v/>
      </c>
      <c r="L10" s="15"/>
      <c r="N10">
        <f t="shared" si="1"/>
        <v>0</v>
      </c>
      <c r="O10" t="str">
        <f t="shared" si="2"/>
        <v/>
      </c>
      <c r="P10">
        <f t="shared" si="3"/>
        <v>-1</v>
      </c>
      <c r="Q10">
        <f t="shared" si="4"/>
        <v>-1</v>
      </c>
      <c r="R10">
        <f t="shared" si="5"/>
        <v>-1</v>
      </c>
      <c r="S10">
        <f t="shared" si="6"/>
        <v>-1</v>
      </c>
      <c r="T10">
        <f t="shared" si="7"/>
        <v>-1</v>
      </c>
      <c r="U10">
        <f t="shared" si="8"/>
        <v>1</v>
      </c>
    </row>
    <row r="11" spans="1:21">
      <c r="A11" s="15" t="s">
        <v>92</v>
      </c>
      <c r="B11" s="15" t="s">
        <v>132</v>
      </c>
      <c r="C11" s="15">
        <f>SUMIF('В06 Пристрої'!$E$5:$E$25,A11,'В06 Пристрої'!$C$5:$C$25)</f>
        <v>0</v>
      </c>
      <c r="D11" s="15">
        <v>30</v>
      </c>
      <c r="E11" s="9"/>
      <c r="F11" s="9"/>
      <c r="G11" s="9"/>
      <c r="H11" s="9"/>
      <c r="I11" s="9"/>
      <c r="J11" s="9"/>
      <c r="K11" s="15" t="str">
        <f t="shared" si="0"/>
        <v/>
      </c>
      <c r="L11" s="15"/>
      <c r="N11">
        <f t="shared" si="1"/>
        <v>0</v>
      </c>
      <c r="O11" t="str">
        <f t="shared" si="2"/>
        <v/>
      </c>
      <c r="P11">
        <f t="shared" si="3"/>
        <v>-1</v>
      </c>
      <c r="Q11">
        <f t="shared" si="4"/>
        <v>-1</v>
      </c>
      <c r="R11">
        <f t="shared" si="5"/>
        <v>-1</v>
      </c>
      <c r="S11">
        <f t="shared" si="6"/>
        <v>-1</v>
      </c>
      <c r="T11">
        <f t="shared" si="7"/>
        <v>-1</v>
      </c>
      <c r="U11">
        <f t="shared" si="8"/>
        <v>1</v>
      </c>
    </row>
    <row r="12" spans="1:21">
      <c r="A12" s="15" t="s">
        <v>146</v>
      </c>
      <c r="B12" s="9"/>
      <c r="C12" s="15">
        <f>SUMIF('В06 Пристрої'!$E$5:$E$25,A12,'В06 Пристрої'!$C$5:$C$25)</f>
        <v>0</v>
      </c>
      <c r="D12" s="9"/>
      <c r="E12" s="9"/>
      <c r="F12" s="9"/>
      <c r="G12" s="9"/>
      <c r="H12" s="9"/>
      <c r="I12" s="9"/>
      <c r="J12" s="9"/>
      <c r="K12" s="15" t="str">
        <f t="shared" si="0"/>
        <v/>
      </c>
      <c r="L12" s="15"/>
      <c r="N12">
        <f t="shared" si="1"/>
        <v>0</v>
      </c>
      <c r="O12" t="str">
        <f t="shared" si="2"/>
        <v/>
      </c>
      <c r="P12">
        <f t="shared" si="3"/>
        <v>-1</v>
      </c>
      <c r="Q12">
        <f t="shared" si="4"/>
        <v>-1</v>
      </c>
      <c r="R12">
        <f t="shared" si="5"/>
        <v>-1</v>
      </c>
      <c r="S12">
        <f t="shared" si="6"/>
        <v>-1</v>
      </c>
      <c r="T12">
        <f t="shared" si="7"/>
        <v>-1</v>
      </c>
      <c r="U12">
        <f t="shared" si="8"/>
        <v>1</v>
      </c>
    </row>
    <row r="13" spans="1:21">
      <c r="A13" s="15" t="s">
        <v>147</v>
      </c>
      <c r="B13" s="9"/>
      <c r="C13" s="15">
        <f>SUMIF('В06 Пристрої'!$E$5:$E$25,A13,'В06 Пристрої'!$C$5:$C$25)</f>
        <v>0</v>
      </c>
      <c r="D13" s="9"/>
      <c r="E13" s="9"/>
      <c r="F13" s="9"/>
      <c r="G13" s="9"/>
      <c r="H13" s="9"/>
      <c r="I13" s="9"/>
      <c r="J13" s="9"/>
      <c r="K13" s="15" t="str">
        <f t="shared" si="0"/>
        <v/>
      </c>
      <c r="L13" s="15"/>
      <c r="N13">
        <f t="shared" si="1"/>
        <v>0</v>
      </c>
      <c r="O13" t="str">
        <f t="shared" si="2"/>
        <v/>
      </c>
      <c r="P13">
        <f t="shared" si="3"/>
        <v>-1</v>
      </c>
      <c r="Q13">
        <f t="shared" si="4"/>
        <v>-1</v>
      </c>
      <c r="R13">
        <f t="shared" si="5"/>
        <v>-1</v>
      </c>
      <c r="S13">
        <f t="shared" si="6"/>
        <v>-1</v>
      </c>
      <c r="T13">
        <f t="shared" si="7"/>
        <v>-1</v>
      </c>
      <c r="U13">
        <f t="shared" si="8"/>
        <v>1</v>
      </c>
    </row>
    <row r="16" spans="1:21">
      <c r="B16" s="12" t="s">
        <v>148</v>
      </c>
    </row>
    <row r="17" spans="2:12">
      <c r="B17" s="6" t="s">
        <v>149</v>
      </c>
      <c r="C17" s="9"/>
    </row>
    <row r="18" spans="2:12">
      <c r="B18" s="6" t="s">
        <v>150</v>
      </c>
      <c r="C18" s="9"/>
    </row>
    <row r="20" spans="2:12" ht="25.5">
      <c r="B20" s="6" t="s">
        <v>151</v>
      </c>
      <c r="C20" s="9"/>
      <c r="L20" s="15" t="str">
        <f>IF(C20="","заповніть native VLAN",IF(NOT(AND(ISNUMBER(C20),C20&gt;=2,C20&lt;=254,C20=INT(C20))),"ціле число від 2 до 254",IF(COUNTIF($F$5:$F$13,C20)&gt;0,"native VLAN не має збігатися з VLAN зони",IF(AND(C17&lt;&gt;"",C18&lt;&gt;"",C20&gt;=C17,C20&lt;=C18),"native VLAN у зарезервованому діапазоні","ОК"))))</f>
        <v>заповніть native VLAN</v>
      </c>
    </row>
  </sheetData>
  <sheetProtection sheet="1" formatCells="0"/>
  <conditionalFormatting sqref="L5:L13">
    <cfRule type="expression" dxfId="37" priority="1">
      <formula>L5="ОК"</formula>
    </cfRule>
    <cfRule type="expression" dxfId="36" priority="2">
      <formula>AND(L5&lt;&gt;"",L5&lt;&gt;"ОК")</formula>
    </cfRule>
  </conditionalFormatting>
  <conditionalFormatting sqref="L20">
    <cfRule type="expression" dxfId="35" priority="3">
      <formula>L20="ОК"</formula>
    </cfRule>
    <cfRule type="expression" dxfId="34" priority="4">
      <formula>L20&lt;&gt;"ОК"</formula>
    </cfRule>
  </conditionalFormatting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BF8F00"/>
  </sheetPr>
  <dimension ref="A1:B11"/>
  <sheetViews>
    <sheetView workbookViewId="0"/>
  </sheetViews>
  <sheetFormatPr defaultRowHeight="15"/>
  <cols>
    <col min="1" max="1" width="66" customWidth="1"/>
    <col min="2" max="2" width="22" customWidth="1"/>
  </cols>
  <sheetData>
    <row r="1" spans="1:2" ht="19.5">
      <c r="A1" s="3" t="s">
        <v>152</v>
      </c>
    </row>
    <row r="2" spans="1:2">
      <c r="A2" s="4" t="s">
        <v>153</v>
      </c>
    </row>
    <row r="4" spans="1:2">
      <c r="A4" s="15" t="s">
        <v>154</v>
      </c>
      <c r="B4" s="15">
        <f>SUM('В06 Пристрої'!C5:C25)</f>
        <v>124</v>
      </c>
    </row>
    <row r="5" spans="1:2">
      <c r="A5" s="15" t="s">
        <v>155</v>
      </c>
      <c r="B5" s="15">
        <f>COUNTIFS('В06 Пристрої'!C5:C25,"&gt;0",'В06 Пристрої'!E5:E25,"")</f>
        <v>16</v>
      </c>
    </row>
    <row r="6" spans="1:2">
      <c r="A6" s="15" t="s">
        <v>156</v>
      </c>
      <c r="B6" s="15">
        <f>COUNTIF('В06 Пристрої'!F5:F25,"тип*")</f>
        <v>0</v>
      </c>
    </row>
    <row r="7" spans="1:2">
      <c r="A7" s="15" t="s">
        <v>157</v>
      </c>
      <c r="B7" s="15">
        <f>COUNTIFS('В06 Зони й адреси'!L5:L13,"&lt;&gt;ОК",'В06 Зони й адреси'!C5:C13,"&gt;0")</f>
        <v>0</v>
      </c>
    </row>
    <row r="8" spans="1:2">
      <c r="A8" s="15" t="s">
        <v>158</v>
      </c>
      <c r="B8" s="15">
        <f>IF('В06 Зони й адреси'!L20="ОК",0,1)</f>
        <v>1</v>
      </c>
    </row>
    <row r="9" spans="1:2">
      <c r="A9" s="15" t="s">
        <v>159</v>
      </c>
      <c r="B9" s="15">
        <f>MAX(0,COUNTIF('В06 Пристрої'!D5:D25,"потребує рішення")-COUNTA('В06 Обґрунтування'!C5:C12))</f>
        <v>2</v>
      </c>
    </row>
    <row r="10" spans="1:2">
      <c r="A10" s="15" t="s">
        <v>160</v>
      </c>
      <c r="B10" s="15">
        <f>COUNTA('В06 Чернетка колеги'!A15:A17)</f>
        <v>0</v>
      </c>
    </row>
    <row r="11" spans="1:2">
      <c r="A11" s="15" t="s">
        <v>161</v>
      </c>
      <c r="B11" s="15" t="str">
        <f>IF(AND(B5=0,B6=0,B7=0,B8=0,B9=0,B10&gt;=3),"Можна здавати","Є що виправити")</f>
        <v>Є що виправити</v>
      </c>
    </row>
  </sheetData>
  <sheetProtection sheet="1" formatCells="0"/>
  <conditionalFormatting sqref="B11">
    <cfRule type="expression" dxfId="33" priority="1">
      <formula>B11="Можна здавати"</formula>
    </cfRule>
    <cfRule type="expression" dxfId="32" priority="2">
      <formula>B11&lt;&gt;"Можна здавати"</formula>
    </cfRule>
  </conditionalFormatting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BF8F00"/>
  </sheetPr>
  <dimension ref="A1:C23"/>
  <sheetViews>
    <sheetView workbookViewId="0"/>
  </sheetViews>
  <sheetFormatPr defaultRowHeight="15"/>
  <cols>
    <col min="1" max="1" width="40" customWidth="1"/>
    <col min="2" max="2" width="14" customWidth="1"/>
    <col min="3" max="3" width="100" customWidth="1"/>
  </cols>
  <sheetData>
    <row r="1" spans="1:3" ht="19.5">
      <c r="A1" s="3" t="s">
        <v>162</v>
      </c>
    </row>
    <row r="2" spans="1:3">
      <c r="A2" s="4" t="s">
        <v>163</v>
      </c>
    </row>
    <row r="4" spans="1:3" ht="30" customHeight="1">
      <c r="A4" s="13" t="s">
        <v>164</v>
      </c>
      <c r="B4" s="13" t="s">
        <v>71</v>
      </c>
      <c r="C4" s="13" t="s">
        <v>165</v>
      </c>
    </row>
    <row r="5" spans="1:3" ht="25.5">
      <c r="A5" s="15" t="s">
        <v>101</v>
      </c>
      <c r="B5" s="9"/>
      <c r="C5" s="9"/>
    </row>
    <row r="6" spans="1:3" ht="25.5">
      <c r="A6" s="15" t="s">
        <v>176</v>
      </c>
      <c r="B6" s="9"/>
      <c r="C6" s="9"/>
    </row>
    <row r="7" spans="1:3">
      <c r="A7" s="9"/>
      <c r="B7" s="9"/>
      <c r="C7" s="9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9"/>
      <c r="B12" s="9"/>
      <c r="C12" s="9"/>
    </row>
    <row r="15" spans="1:3">
      <c r="A15" s="26" t="s">
        <v>166</v>
      </c>
      <c r="B15" s="21"/>
      <c r="C15" s="21"/>
    </row>
    <row r="16" spans="1:3" ht="39.950000000000003" customHeight="1">
      <c r="A16" s="19"/>
      <c r="B16" s="27"/>
      <c r="C16" s="28"/>
    </row>
    <row r="17" spans="1:3">
      <c r="A17" s="29"/>
      <c r="B17" s="30"/>
      <c r="C17" s="31"/>
    </row>
    <row r="18" spans="1:3">
      <c r="A18" s="26" t="s">
        <v>167</v>
      </c>
      <c r="B18" s="21"/>
      <c r="C18" s="21"/>
    </row>
    <row r="19" spans="1:3" ht="39.950000000000003" customHeight="1">
      <c r="A19" s="19"/>
      <c r="B19" s="27"/>
      <c r="C19" s="28"/>
    </row>
    <row r="20" spans="1:3">
      <c r="A20" s="29"/>
      <c r="B20" s="30"/>
      <c r="C20" s="31"/>
    </row>
    <row r="21" spans="1:3">
      <c r="A21" s="26" t="s">
        <v>168</v>
      </c>
      <c r="B21" s="21"/>
      <c r="C21" s="21"/>
    </row>
    <row r="22" spans="1:3" ht="39.950000000000003" customHeight="1">
      <c r="A22" s="19"/>
      <c r="B22" s="27"/>
      <c r="C22" s="28"/>
    </row>
    <row r="23" spans="1:3">
      <c r="A23" s="29"/>
      <c r="B23" s="30"/>
      <c r="C23" s="31"/>
    </row>
  </sheetData>
  <sheetProtection sheet="1" formatCells="0"/>
  <mergeCells count="6">
    <mergeCell ref="A15:C15"/>
    <mergeCell ref="A16:C17"/>
    <mergeCell ref="A19:C20"/>
    <mergeCell ref="A18:C18"/>
    <mergeCell ref="A22:C23"/>
    <mergeCell ref="A21:C2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833C0B"/>
  </sheetPr>
  <dimension ref="A1:B16"/>
  <sheetViews>
    <sheetView workbookViewId="0"/>
  </sheetViews>
  <sheetFormatPr defaultRowHeight="15"/>
  <cols>
    <col min="1" max="1" width="26" customWidth="1"/>
    <col min="2" max="2" width="104" customWidth="1"/>
  </cols>
  <sheetData>
    <row r="1" spans="1:2" ht="19.5">
      <c r="A1" s="3" t="s">
        <v>269</v>
      </c>
    </row>
    <row r="2" spans="1:2">
      <c r="A2" s="4" t="s">
        <v>25</v>
      </c>
    </row>
    <row r="4" spans="1:2">
      <c r="A4" s="5" t="s">
        <v>26</v>
      </c>
      <c r="B4" s="6"/>
    </row>
    <row r="5" spans="1:2" ht="25.5">
      <c r="A5" s="7" t="s">
        <v>27</v>
      </c>
      <c r="B5" s="6" t="s">
        <v>28</v>
      </c>
    </row>
    <row r="6" spans="1:2" ht="25.5">
      <c r="A6" s="7" t="s">
        <v>29</v>
      </c>
      <c r="B6" s="6" t="s">
        <v>30</v>
      </c>
    </row>
    <row r="7" spans="1:2" ht="25.5">
      <c r="A7" s="7" t="s">
        <v>31</v>
      </c>
      <c r="B7" s="6" t="s">
        <v>32</v>
      </c>
    </row>
    <row r="8" spans="1:2">
      <c r="A8" s="7" t="s">
        <v>33</v>
      </c>
      <c r="B8" s="6" t="s">
        <v>34</v>
      </c>
    </row>
    <row r="9" spans="1:2" ht="25.5">
      <c r="A9" s="7" t="s">
        <v>35</v>
      </c>
      <c r="B9" s="6" t="s">
        <v>36</v>
      </c>
    </row>
    <row r="10" spans="1:2">
      <c r="A10" s="7" t="s">
        <v>37</v>
      </c>
      <c r="B10" s="6" t="s">
        <v>38</v>
      </c>
    </row>
    <row r="11" spans="1:2">
      <c r="A11" s="7"/>
      <c r="B11" s="6"/>
    </row>
    <row r="12" spans="1:2">
      <c r="A12" s="7" t="s">
        <v>39</v>
      </c>
      <c r="B12" s="6" t="s">
        <v>40</v>
      </c>
    </row>
    <row r="13" spans="1:2">
      <c r="A13" s="7" t="s">
        <v>41</v>
      </c>
      <c r="B13" s="6" t="s">
        <v>42</v>
      </c>
    </row>
    <row r="14" spans="1:2" ht="25.5">
      <c r="A14" s="7" t="s">
        <v>43</v>
      </c>
      <c r="B14" s="6" t="s">
        <v>44</v>
      </c>
    </row>
    <row r="15" spans="1:2" ht="25.5">
      <c r="A15" s="7" t="s">
        <v>45</v>
      </c>
      <c r="B15" s="6" t="s">
        <v>46</v>
      </c>
    </row>
    <row r="16" spans="1:2">
      <c r="A16" s="7" t="s">
        <v>47</v>
      </c>
      <c r="B16" s="6" t="s">
        <v>48</v>
      </c>
    </row>
  </sheetData>
  <sheetProtection sheet="1" formatCells="0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833C0B"/>
  </sheetPr>
  <dimension ref="A1:B13"/>
  <sheetViews>
    <sheetView workbookViewId="0"/>
  </sheetViews>
  <sheetFormatPr defaultRowHeight="15"/>
  <cols>
    <col min="1" max="1" width="36" customWidth="1"/>
    <col min="2" max="2" width="70" customWidth="1"/>
  </cols>
  <sheetData>
    <row r="1" spans="1:2" ht="19.5">
      <c r="A1" s="3" t="s">
        <v>270</v>
      </c>
    </row>
    <row r="3" spans="1:2">
      <c r="A3" s="8" t="s">
        <v>50</v>
      </c>
      <c r="B3" s="9"/>
    </row>
    <row r="4" spans="1:2">
      <c r="A4" s="8" t="s">
        <v>51</v>
      </c>
      <c r="B4" s="10" t="s">
        <v>271</v>
      </c>
    </row>
    <row r="5" spans="1:2">
      <c r="A5" s="8" t="s">
        <v>53</v>
      </c>
      <c r="B5" s="10">
        <v>51</v>
      </c>
    </row>
    <row r="6" spans="1:2">
      <c r="A6" s="8" t="s">
        <v>54</v>
      </c>
      <c r="B6" s="10" t="s">
        <v>55</v>
      </c>
    </row>
    <row r="7" spans="1:2" ht="25.5">
      <c r="A7" s="8" t="s">
        <v>56</v>
      </c>
      <c r="B7" s="10" t="s">
        <v>272</v>
      </c>
    </row>
    <row r="8" spans="1:2" ht="25.5">
      <c r="A8" s="8" t="s">
        <v>58</v>
      </c>
      <c r="B8" s="10" t="s">
        <v>273</v>
      </c>
    </row>
    <row r="10" spans="1:2" ht="15.75">
      <c r="A10" s="11" t="s">
        <v>60</v>
      </c>
    </row>
    <row r="11" spans="1:2">
      <c r="A11" s="18" t="s">
        <v>61</v>
      </c>
      <c r="B11" s="21"/>
    </row>
    <row r="12" spans="1:2">
      <c r="A12" s="21"/>
      <c r="B12" s="21"/>
    </row>
    <row r="13" spans="1:2">
      <c r="A13" s="21"/>
      <c r="B13" s="21"/>
    </row>
  </sheetData>
  <sheetProtection sheet="1" formatCells="0"/>
  <mergeCells count="1">
    <mergeCell ref="A11:B1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833C0B"/>
  </sheetPr>
  <dimension ref="A1:I25"/>
  <sheetViews>
    <sheetView workbookViewId="0"/>
  </sheetViews>
  <sheetFormatPr defaultRowHeight="15"/>
  <cols>
    <col min="1" max="1" width="5" customWidth="1"/>
    <col min="2" max="2" width="56" customWidth="1"/>
    <col min="3" max="3" width="11" customWidth="1"/>
    <col min="4" max="4" width="24" customWidth="1"/>
    <col min="5" max="5" width="16" customWidth="1"/>
    <col min="6" max="6" width="40" customWidth="1"/>
    <col min="7" max="7" width="3" customWidth="1"/>
    <col min="8" max="8" width="24" customWidth="1"/>
    <col min="9" max="9" width="14" customWidth="1"/>
  </cols>
  <sheetData>
    <row r="1" spans="1:9" ht="19.5">
      <c r="A1" s="3" t="s">
        <v>62</v>
      </c>
    </row>
    <row r="2" spans="1:9">
      <c r="A2" s="4" t="s">
        <v>63</v>
      </c>
    </row>
    <row r="3" spans="1:9">
      <c r="H3" s="12" t="s">
        <v>64</v>
      </c>
    </row>
    <row r="4" spans="1:9" ht="39.950000000000003" customHeight="1">
      <c r="A4" s="13" t="s">
        <v>65</v>
      </c>
      <c r="B4" s="13" t="s">
        <v>66</v>
      </c>
      <c r="C4" s="13" t="s">
        <v>67</v>
      </c>
      <c r="D4" s="13" t="s">
        <v>68</v>
      </c>
      <c r="E4" s="13" t="s">
        <v>69</v>
      </c>
      <c r="F4" s="13" t="s">
        <v>70</v>
      </c>
      <c r="H4" s="14" t="s">
        <v>68</v>
      </c>
      <c r="I4" s="14" t="s">
        <v>71</v>
      </c>
    </row>
    <row r="5" spans="1:9">
      <c r="A5" s="15">
        <v>1</v>
      </c>
      <c r="B5" s="15" t="s">
        <v>72</v>
      </c>
      <c r="C5" s="15">
        <v>3</v>
      </c>
      <c r="D5" s="15" t="s">
        <v>73</v>
      </c>
      <c r="E5" s="9"/>
      <c r="F5" s="15" t="str">
        <f t="shared" ref="F5:F25" si="0">IF(C5="","",IF(D5="","вкажіть тип",IF(E5="","призначте зону",IF(D5="потребує рішення","рішення поясніть на аркуші «Обґрунтування»",IF(IFERROR(VLOOKUP(D5,$H$5:$I$11,2,FALSE),"?")=E5,"ОК","тип пристрою не відповідає зоні")))))</f>
        <v>призначте зону</v>
      </c>
      <c r="H5" s="15" t="s">
        <v>73</v>
      </c>
      <c r="I5" s="15" t="s">
        <v>74</v>
      </c>
    </row>
    <row r="6" spans="1:9">
      <c r="A6" s="15">
        <v>2</v>
      </c>
      <c r="B6" s="15" t="s">
        <v>75</v>
      </c>
      <c r="C6" s="15">
        <v>1</v>
      </c>
      <c r="D6" s="15" t="s">
        <v>73</v>
      </c>
      <c r="E6" s="9"/>
      <c r="F6" s="15" t="str">
        <f t="shared" si="0"/>
        <v>призначте зону</v>
      </c>
      <c r="H6" s="15" t="s">
        <v>76</v>
      </c>
      <c r="I6" s="15" t="s">
        <v>77</v>
      </c>
    </row>
    <row r="7" spans="1:9">
      <c r="A7" s="15">
        <v>3</v>
      </c>
      <c r="B7" s="15" t="s">
        <v>78</v>
      </c>
      <c r="C7" s="15">
        <v>3</v>
      </c>
      <c r="D7" s="15" t="s">
        <v>76</v>
      </c>
      <c r="E7" s="9"/>
      <c r="F7" s="15" t="str">
        <f t="shared" si="0"/>
        <v>призначте зону</v>
      </c>
      <c r="H7" s="15" t="s">
        <v>79</v>
      </c>
      <c r="I7" s="15" t="s">
        <v>80</v>
      </c>
    </row>
    <row r="8" spans="1:9">
      <c r="A8" s="15">
        <v>4</v>
      </c>
      <c r="B8" s="15" t="s">
        <v>81</v>
      </c>
      <c r="C8" s="15">
        <v>2</v>
      </c>
      <c r="D8" s="15" t="s">
        <v>79</v>
      </c>
      <c r="E8" s="9"/>
      <c r="F8" s="15" t="str">
        <f t="shared" si="0"/>
        <v>призначте зону</v>
      </c>
      <c r="H8" s="15" t="s">
        <v>82</v>
      </c>
      <c r="I8" s="15" t="s">
        <v>83</v>
      </c>
    </row>
    <row r="9" spans="1:9">
      <c r="A9" s="15">
        <v>5</v>
      </c>
      <c r="B9" s="15" t="s">
        <v>84</v>
      </c>
      <c r="C9" s="15">
        <v>2</v>
      </c>
      <c r="D9" s="15" t="s">
        <v>82</v>
      </c>
      <c r="E9" s="9"/>
      <c r="F9" s="15" t="str">
        <f t="shared" si="0"/>
        <v>призначте зону</v>
      </c>
      <c r="H9" s="15" t="s">
        <v>85</v>
      </c>
      <c r="I9" s="15" t="s">
        <v>86</v>
      </c>
    </row>
    <row r="10" spans="1:9">
      <c r="A10" s="15">
        <v>6</v>
      </c>
      <c r="B10" s="15" t="s">
        <v>87</v>
      </c>
      <c r="C10" s="15">
        <v>4</v>
      </c>
      <c r="D10" s="15" t="s">
        <v>82</v>
      </c>
      <c r="E10" s="9"/>
      <c r="F10" s="15" t="str">
        <f t="shared" si="0"/>
        <v>призначте зону</v>
      </c>
      <c r="H10" s="15" t="s">
        <v>88</v>
      </c>
      <c r="I10" s="15" t="s">
        <v>89</v>
      </c>
    </row>
    <row r="11" spans="1:9">
      <c r="A11" s="15">
        <v>7</v>
      </c>
      <c r="B11" s="15" t="s">
        <v>90</v>
      </c>
      <c r="C11" s="15">
        <v>7</v>
      </c>
      <c r="D11" s="15" t="s">
        <v>85</v>
      </c>
      <c r="E11" s="9"/>
      <c r="F11" s="15" t="str">
        <f t="shared" si="0"/>
        <v>призначте зону</v>
      </c>
      <c r="H11" s="15" t="s">
        <v>91</v>
      </c>
      <c r="I11" s="15" t="s">
        <v>92</v>
      </c>
    </row>
    <row r="12" spans="1:9">
      <c r="A12" s="15">
        <v>8</v>
      </c>
      <c r="B12" s="15" t="s">
        <v>93</v>
      </c>
      <c r="C12" s="15">
        <v>2</v>
      </c>
      <c r="D12" s="15" t="s">
        <v>85</v>
      </c>
      <c r="E12" s="9"/>
      <c r="F12" s="15" t="str">
        <f t="shared" si="0"/>
        <v>призначте зону</v>
      </c>
      <c r="H12" s="16" t="s">
        <v>94</v>
      </c>
    </row>
    <row r="13" spans="1:9">
      <c r="A13" s="15">
        <v>9</v>
      </c>
      <c r="B13" s="15" t="s">
        <v>95</v>
      </c>
      <c r="C13" s="15">
        <v>4</v>
      </c>
      <c r="D13" s="15" t="s">
        <v>85</v>
      </c>
      <c r="E13" s="9"/>
      <c r="F13" s="15" t="str">
        <f t="shared" si="0"/>
        <v>призначте зону</v>
      </c>
    </row>
    <row r="14" spans="1:9">
      <c r="A14" s="15">
        <v>10</v>
      </c>
      <c r="B14" s="15" t="s">
        <v>96</v>
      </c>
      <c r="C14" s="15">
        <v>30</v>
      </c>
      <c r="D14" s="15" t="s">
        <v>88</v>
      </c>
      <c r="E14" s="9"/>
      <c r="F14" s="15" t="str">
        <f t="shared" si="0"/>
        <v>призначте зону</v>
      </c>
    </row>
    <row r="15" spans="1:9">
      <c r="A15" s="15">
        <v>11</v>
      </c>
      <c r="B15" s="15" t="s">
        <v>97</v>
      </c>
      <c r="C15" s="15">
        <v>1</v>
      </c>
      <c r="D15" s="15" t="s">
        <v>91</v>
      </c>
      <c r="E15" s="9"/>
      <c r="F15" s="15" t="str">
        <f t="shared" si="0"/>
        <v>призначте зону</v>
      </c>
    </row>
    <row r="16" spans="1:9">
      <c r="A16" s="15">
        <v>12</v>
      </c>
      <c r="B16" s="15" t="s">
        <v>98</v>
      </c>
      <c r="C16" s="15">
        <v>2</v>
      </c>
      <c r="D16" s="15" t="s">
        <v>91</v>
      </c>
      <c r="E16" s="9"/>
      <c r="F16" s="15" t="str">
        <f t="shared" si="0"/>
        <v>призначте зону</v>
      </c>
    </row>
    <row r="17" spans="1:6">
      <c r="A17" s="15">
        <v>13</v>
      </c>
      <c r="B17" s="15" t="s">
        <v>99</v>
      </c>
      <c r="C17" s="15">
        <v>2</v>
      </c>
      <c r="D17" s="15" t="s">
        <v>91</v>
      </c>
      <c r="E17" s="9"/>
      <c r="F17" s="15" t="str">
        <f t="shared" si="0"/>
        <v>призначте зону</v>
      </c>
    </row>
    <row r="18" spans="1:6">
      <c r="A18" s="15">
        <v>14</v>
      </c>
      <c r="B18" s="15" t="s">
        <v>100</v>
      </c>
      <c r="C18" s="15">
        <v>1</v>
      </c>
      <c r="D18" s="15" t="s">
        <v>91</v>
      </c>
      <c r="E18" s="9"/>
      <c r="F18" s="15" t="str">
        <f t="shared" si="0"/>
        <v>призначте зону</v>
      </c>
    </row>
    <row r="19" spans="1:6">
      <c r="A19" s="15">
        <v>15</v>
      </c>
      <c r="B19" s="15" t="s">
        <v>103</v>
      </c>
      <c r="C19" s="15">
        <v>3</v>
      </c>
      <c r="D19" s="15" t="s">
        <v>102</v>
      </c>
      <c r="E19" s="9"/>
      <c r="F19" s="15" t="str">
        <f t="shared" si="0"/>
        <v>призначте зону</v>
      </c>
    </row>
    <row r="20" spans="1:6">
      <c r="A20" s="15">
        <v>16</v>
      </c>
      <c r="B20" s="15" t="s">
        <v>196</v>
      </c>
      <c r="C20" s="15">
        <v>8</v>
      </c>
      <c r="D20" s="15" t="s">
        <v>102</v>
      </c>
      <c r="E20" s="9"/>
      <c r="F20" s="15" t="str">
        <f t="shared" si="0"/>
        <v>призначте зону</v>
      </c>
    </row>
    <row r="21" spans="1:6">
      <c r="A21" s="17">
        <v>17</v>
      </c>
      <c r="B21" s="9"/>
      <c r="C21" s="9"/>
      <c r="D21" s="9"/>
      <c r="E21" s="9"/>
      <c r="F21" s="15" t="str">
        <f t="shared" si="0"/>
        <v/>
      </c>
    </row>
    <row r="22" spans="1:6">
      <c r="A22" s="17">
        <v>18</v>
      </c>
      <c r="B22" s="9"/>
      <c r="C22" s="9"/>
      <c r="D22" s="9"/>
      <c r="E22" s="9"/>
      <c r="F22" s="15" t="str">
        <f t="shared" si="0"/>
        <v/>
      </c>
    </row>
    <row r="23" spans="1:6">
      <c r="A23" s="17">
        <v>19</v>
      </c>
      <c r="B23" s="9"/>
      <c r="C23" s="9"/>
      <c r="D23" s="9"/>
      <c r="E23" s="9"/>
      <c r="F23" s="15" t="str">
        <f t="shared" si="0"/>
        <v/>
      </c>
    </row>
    <row r="24" spans="1:6">
      <c r="A24" s="17">
        <v>20</v>
      </c>
      <c r="B24" s="9"/>
      <c r="C24" s="9"/>
      <c r="D24" s="9"/>
      <c r="E24" s="9"/>
      <c r="F24" s="15" t="str">
        <f t="shared" si="0"/>
        <v/>
      </c>
    </row>
    <row r="25" spans="1:6">
      <c r="A25" s="17">
        <v>21</v>
      </c>
      <c r="B25" s="9"/>
      <c r="C25" s="9"/>
      <c r="D25" s="9"/>
      <c r="E25" s="9"/>
      <c r="F25" s="15" t="str">
        <f t="shared" si="0"/>
        <v/>
      </c>
    </row>
  </sheetData>
  <sheetProtection sheet="1" formatCells="0"/>
  <conditionalFormatting sqref="F5:F25">
    <cfRule type="expression" dxfId="31" priority="1">
      <formula>F5="ОК"</formula>
    </cfRule>
    <cfRule type="expression" dxfId="30" priority="2">
      <formula>OR(LEFT(F5,3)="тип",F5="призначте зону",F5="вкажіть тип")</formula>
    </cfRule>
  </conditionalFormatting>
  <dataValidations count="2">
    <dataValidation type="list" allowBlank="1" sqref="E5:E25" xr:uid="{00000000-0002-0000-2D00-000000000000}">
      <formula1>"KASA,MANAGERS,ABS,ATM_POS,IOT,GUEST,MGMT,NEW1,NEW2"</formula1>
    </dataValidation>
    <dataValidation type="list" allowBlank="1" sqref="D21:D25" xr:uid="{00000000-0002-0000-2D00-000001000000}">
      <formula1>"каса,менеджер,АБС,платіжний пристрій,без користувача,клієнтські пристрої,мережеве обладнання,потребує рішення"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833C0B"/>
  </sheetPr>
  <dimension ref="A1:G17"/>
  <sheetViews>
    <sheetView workbookViewId="0"/>
  </sheetViews>
  <sheetFormatPr defaultRowHeight="15"/>
  <cols>
    <col min="1" max="1" width="6" customWidth="1"/>
    <col min="2" max="2" width="26" customWidth="1"/>
    <col min="3" max="3" width="14" customWidth="1"/>
    <col min="4" max="4" width="9" customWidth="1"/>
    <col min="5" max="5" width="20" customWidth="1"/>
    <col min="6" max="6" width="10" customWidth="1"/>
    <col min="7" max="7" width="20" customWidth="1"/>
  </cols>
  <sheetData>
    <row r="1" spans="1:7" ht="19.5">
      <c r="A1" s="3" t="s">
        <v>104</v>
      </c>
    </row>
    <row r="2" spans="1:7">
      <c r="A2" s="4" t="s">
        <v>105</v>
      </c>
    </row>
    <row r="4" spans="1:7" ht="39.950000000000003" customHeight="1">
      <c r="A4" s="13" t="s">
        <v>65</v>
      </c>
      <c r="B4" s="13" t="s">
        <v>71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47</v>
      </c>
    </row>
    <row r="5" spans="1:7">
      <c r="A5" s="15">
        <v>1</v>
      </c>
      <c r="B5" s="15" t="s">
        <v>110</v>
      </c>
      <c r="C5" s="15">
        <v>6</v>
      </c>
      <c r="D5" s="15">
        <v>50</v>
      </c>
      <c r="E5" s="15" t="s">
        <v>274</v>
      </c>
      <c r="F5" s="15" t="s">
        <v>116</v>
      </c>
      <c r="G5" s="15" t="s">
        <v>275</v>
      </c>
    </row>
    <row r="6" spans="1:7">
      <c r="A6" s="15">
        <v>2</v>
      </c>
      <c r="B6" s="15" t="s">
        <v>114</v>
      </c>
      <c r="C6" s="15">
        <v>18</v>
      </c>
      <c r="D6" s="15">
        <v>60</v>
      </c>
      <c r="E6" s="15" t="s">
        <v>276</v>
      </c>
      <c r="F6" s="15" t="s">
        <v>116</v>
      </c>
      <c r="G6" s="15" t="s">
        <v>277</v>
      </c>
    </row>
    <row r="7" spans="1:7">
      <c r="A7" s="15">
        <v>3</v>
      </c>
      <c r="B7" s="15" t="s">
        <v>118</v>
      </c>
      <c r="C7" s="15">
        <v>4</v>
      </c>
      <c r="D7" s="15">
        <v>70</v>
      </c>
      <c r="E7" s="15" t="s">
        <v>278</v>
      </c>
      <c r="F7" s="15" t="s">
        <v>116</v>
      </c>
      <c r="G7" s="15" t="s">
        <v>279</v>
      </c>
    </row>
    <row r="8" spans="1:7">
      <c r="A8" s="15">
        <v>4</v>
      </c>
      <c r="B8" s="15" t="s">
        <v>122</v>
      </c>
      <c r="C8" s="15">
        <v>9</v>
      </c>
      <c r="D8" s="15">
        <v>80</v>
      </c>
      <c r="E8" s="15" t="s">
        <v>280</v>
      </c>
      <c r="F8" s="15" t="s">
        <v>112</v>
      </c>
      <c r="G8" s="15" t="s">
        <v>281</v>
      </c>
    </row>
    <row r="9" spans="1:7">
      <c r="A9" s="15">
        <v>5</v>
      </c>
      <c r="B9" s="15" t="s">
        <v>125</v>
      </c>
      <c r="C9" s="15">
        <v>33</v>
      </c>
      <c r="D9" s="15">
        <v>90</v>
      </c>
      <c r="E9" s="15" t="s">
        <v>282</v>
      </c>
      <c r="F9" s="15" t="s">
        <v>127</v>
      </c>
      <c r="G9" s="15" t="s">
        <v>283</v>
      </c>
    </row>
    <row r="10" spans="1:7">
      <c r="A10" s="15">
        <v>6</v>
      </c>
      <c r="B10" s="15" t="s">
        <v>129</v>
      </c>
      <c r="C10" s="15">
        <v>43</v>
      </c>
      <c r="D10" s="15">
        <v>60</v>
      </c>
      <c r="E10" s="15" t="s">
        <v>276</v>
      </c>
      <c r="F10" s="15" t="s">
        <v>127</v>
      </c>
      <c r="G10" s="15" t="s">
        <v>277</v>
      </c>
    </row>
    <row r="11" spans="1:7">
      <c r="A11" s="15">
        <v>7</v>
      </c>
      <c r="B11" s="15" t="s">
        <v>132</v>
      </c>
      <c r="C11" s="15">
        <v>9</v>
      </c>
      <c r="D11" s="15">
        <v>110</v>
      </c>
      <c r="E11" s="15" t="s">
        <v>284</v>
      </c>
      <c r="F11" s="15" t="s">
        <v>112</v>
      </c>
      <c r="G11" s="15" t="s">
        <v>285</v>
      </c>
    </row>
    <row r="13" spans="1:7" ht="15.75">
      <c r="A13" s="11" t="s">
        <v>133</v>
      </c>
    </row>
    <row r="14" spans="1:7" ht="27.95" customHeight="1">
      <c r="A14" s="13" t="s">
        <v>134</v>
      </c>
      <c r="B14" s="13" t="s">
        <v>135</v>
      </c>
      <c r="C14" s="20" t="s">
        <v>136</v>
      </c>
      <c r="D14" s="22"/>
      <c r="E14" s="22"/>
      <c r="F14" s="22"/>
      <c r="G14" s="23"/>
    </row>
    <row r="15" spans="1:7">
      <c r="A15" s="9"/>
      <c r="B15" s="9"/>
      <c r="C15" s="19"/>
      <c r="D15" s="24"/>
      <c r="E15" s="24"/>
      <c r="F15" s="24"/>
      <c r="G15" s="25"/>
    </row>
    <row r="16" spans="1:7">
      <c r="A16" s="9"/>
      <c r="B16" s="9"/>
      <c r="C16" s="19"/>
      <c r="D16" s="24"/>
      <c r="E16" s="24"/>
      <c r="F16" s="24"/>
      <c r="G16" s="25"/>
    </row>
    <row r="17" spans="1:7">
      <c r="A17" s="9"/>
      <c r="B17" s="9"/>
      <c r="C17" s="19"/>
      <c r="D17" s="24"/>
      <c r="E17" s="24"/>
      <c r="F17" s="24"/>
      <c r="G17" s="25"/>
    </row>
  </sheetData>
  <sheetProtection sheet="1" formatCells="0"/>
  <mergeCells count="4">
    <mergeCell ref="C16:G16"/>
    <mergeCell ref="C15:G15"/>
    <mergeCell ref="C17:G17"/>
    <mergeCell ref="C14:G14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833C0B"/>
  </sheetPr>
  <dimension ref="A1:U20"/>
  <sheetViews>
    <sheetView workbookViewId="0"/>
  </sheetViews>
  <sheetFormatPr defaultRowHeight="15"/>
  <cols>
    <col min="1" max="1" width="11" customWidth="1"/>
    <col min="2" max="2" width="22" customWidth="1"/>
    <col min="3" max="3" width="10" customWidth="1"/>
    <col min="4" max="4" width="11" customWidth="1"/>
    <col min="5" max="5" width="13" customWidth="1"/>
    <col min="6" max="6" width="8" customWidth="1"/>
    <col min="7" max="8" width="16" customWidth="1"/>
    <col min="9" max="9" width="9" customWidth="1"/>
    <col min="10" max="10" width="16" customWidth="1"/>
    <col min="11" max="11" width="10" customWidth="1"/>
    <col min="12" max="12" width="56" customWidth="1"/>
    <col min="14" max="21" width="13" hidden="1" customWidth="1"/>
  </cols>
  <sheetData>
    <row r="1" spans="1:21" ht="19.5">
      <c r="A1" s="3" t="s">
        <v>137</v>
      </c>
    </row>
    <row r="2" spans="1:21">
      <c r="A2" s="4" t="s">
        <v>138</v>
      </c>
    </row>
    <row r="4" spans="1:21" ht="54" customHeight="1">
      <c r="A4" s="13" t="s">
        <v>139</v>
      </c>
      <c r="B4" s="13" t="s">
        <v>140</v>
      </c>
      <c r="C4" s="13" t="s">
        <v>141</v>
      </c>
      <c r="D4" s="13" t="s">
        <v>58</v>
      </c>
      <c r="E4" s="13" t="s">
        <v>142</v>
      </c>
      <c r="F4" s="13" t="s">
        <v>107</v>
      </c>
      <c r="G4" s="13" t="s">
        <v>143</v>
      </c>
      <c r="H4" s="13" t="s">
        <v>108</v>
      </c>
      <c r="I4" s="13" t="s">
        <v>144</v>
      </c>
      <c r="J4" s="13" t="s">
        <v>47</v>
      </c>
      <c r="K4" s="13" t="s">
        <v>145</v>
      </c>
      <c r="L4" s="13" t="s">
        <v>70</v>
      </c>
    </row>
    <row r="5" spans="1:21">
      <c r="A5" s="15" t="s">
        <v>74</v>
      </c>
      <c r="B5" s="15" t="s">
        <v>110</v>
      </c>
      <c r="C5" s="15">
        <f>SUMIF('В07 Пристрої'!$E$5:$E$25,A5,'В07 Пристрої'!$C$5:$C$25)</f>
        <v>0</v>
      </c>
      <c r="D5" s="15">
        <v>20</v>
      </c>
      <c r="E5" s="9"/>
      <c r="F5" s="9"/>
      <c r="G5" s="9"/>
      <c r="H5" s="9"/>
      <c r="I5" s="9"/>
      <c r="J5" s="9"/>
      <c r="K5" s="15" t="str">
        <f t="shared" ref="K5:K13" si="0">IF(OR(I5="",NOT(ISNUMBER(I5))),"",2^(32-I5)-2)</f>
        <v/>
      </c>
      <c r="L5" s="15"/>
      <c r="N5">
        <f t="shared" ref="N5:N13" si="1">IF(C5=0,0,ROUNDUP(ROUND(C5*(1+D5/100),6),0)+1)</f>
        <v>0</v>
      </c>
      <c r="O5" t="str">
        <f t="shared" ref="O5:O13" si="2">IF(N5=0,"",32-MAX(2,ROUNDUP(LOG(N5+2,2)-0.000001,0)))</f>
        <v/>
      </c>
      <c r="P5">
        <f t="shared" ref="P5:P13" si="3">IFERROR(VALUE(LEFT(H5,FIND(".",H5)-1)),-1)</f>
        <v>-1</v>
      </c>
      <c r="Q5">
        <f t="shared" ref="Q5:Q13" si="4">IFERROR(VALUE(MID(H5,FIND(".",H5)+1,FIND("#",SUBSTITUTE(H5,".","#",2))-FIND(".",H5)-1)),-1)</f>
        <v>-1</v>
      </c>
      <c r="R5">
        <f t="shared" ref="R5:R13" si="5">IFERROR(VALUE(MID(H5,FIND("#",SUBSTITUTE(H5,".","#",2))+1,FIND("#",SUBSTITUTE(H5,".","#",3))-FIND("#",SUBSTITUTE(H5,".","#",2))-1)),-1)</f>
        <v>-1</v>
      </c>
      <c r="S5">
        <f t="shared" ref="S5:S13" si="6">IFERROR(VALUE(MID(H5,FIND("#",SUBSTITUTE(H5,".","#",3))+1,3)),-1)</f>
        <v>-1</v>
      </c>
      <c r="T5">
        <f t="shared" ref="T5:T13" si="7">IFERROR(VALUE(MID(J5,FIND("#",SUBSTITUTE(J5,".","#",3))+1,3)),-1)</f>
        <v>-1</v>
      </c>
      <c r="U5">
        <f t="shared" ref="U5:U13" si="8">IF(IFERROR(LEFT(H5,FIND("#",SUBSTITUTE(H5,".","#",3))),"")=IFERROR(LEFT(J5,FIND("#",SUBSTITUTE(J5,".","#",3))),""),1,0)</f>
        <v>1</v>
      </c>
    </row>
    <row r="6" spans="1:21">
      <c r="A6" s="15" t="s">
        <v>77</v>
      </c>
      <c r="B6" s="15" t="s">
        <v>114</v>
      </c>
      <c r="C6" s="15">
        <f>SUMIF('В07 Пристрої'!$E$5:$E$25,A6,'В07 Пристрої'!$C$5:$C$25)</f>
        <v>0</v>
      </c>
      <c r="D6" s="15">
        <v>50</v>
      </c>
      <c r="E6" s="9"/>
      <c r="F6" s="9"/>
      <c r="G6" s="9"/>
      <c r="H6" s="9"/>
      <c r="I6" s="9"/>
      <c r="J6" s="9"/>
      <c r="K6" s="15" t="str">
        <f t="shared" si="0"/>
        <v/>
      </c>
      <c r="L6" s="15"/>
      <c r="N6">
        <f t="shared" si="1"/>
        <v>0</v>
      </c>
      <c r="O6" t="str">
        <f t="shared" si="2"/>
        <v/>
      </c>
      <c r="P6">
        <f t="shared" si="3"/>
        <v>-1</v>
      </c>
      <c r="Q6">
        <f t="shared" si="4"/>
        <v>-1</v>
      </c>
      <c r="R6">
        <f t="shared" si="5"/>
        <v>-1</v>
      </c>
      <c r="S6">
        <f t="shared" si="6"/>
        <v>-1</v>
      </c>
      <c r="T6">
        <f t="shared" si="7"/>
        <v>-1</v>
      </c>
      <c r="U6">
        <f t="shared" si="8"/>
        <v>1</v>
      </c>
    </row>
    <row r="7" spans="1:21">
      <c r="A7" s="15" t="s">
        <v>80</v>
      </c>
      <c r="B7" s="15" t="s">
        <v>118</v>
      </c>
      <c r="C7" s="15">
        <f>SUMIF('В07 Пристрої'!$E$5:$E$25,A7,'В07 Пристрої'!$C$5:$C$25)</f>
        <v>0</v>
      </c>
      <c r="D7" s="15">
        <v>40</v>
      </c>
      <c r="E7" s="9"/>
      <c r="F7" s="9"/>
      <c r="G7" s="9"/>
      <c r="H7" s="9"/>
      <c r="I7" s="9"/>
      <c r="J7" s="9"/>
      <c r="K7" s="15" t="str">
        <f t="shared" si="0"/>
        <v/>
      </c>
      <c r="L7" s="15"/>
      <c r="N7">
        <f t="shared" si="1"/>
        <v>0</v>
      </c>
      <c r="O7" t="str">
        <f t="shared" si="2"/>
        <v/>
      </c>
      <c r="P7">
        <f t="shared" si="3"/>
        <v>-1</v>
      </c>
      <c r="Q7">
        <f t="shared" si="4"/>
        <v>-1</v>
      </c>
      <c r="R7">
        <f t="shared" si="5"/>
        <v>-1</v>
      </c>
      <c r="S7">
        <f t="shared" si="6"/>
        <v>-1</v>
      </c>
      <c r="T7">
        <f t="shared" si="7"/>
        <v>-1</v>
      </c>
      <c r="U7">
        <f t="shared" si="8"/>
        <v>1</v>
      </c>
    </row>
    <row r="8" spans="1:21">
      <c r="A8" s="15" t="s">
        <v>83</v>
      </c>
      <c r="B8" s="15" t="s">
        <v>122</v>
      </c>
      <c r="C8" s="15">
        <f>SUMIF('В07 Пристрої'!$E$5:$E$25,A8,'В07 Пристрої'!$C$5:$C$25)</f>
        <v>0</v>
      </c>
      <c r="D8" s="15">
        <v>25</v>
      </c>
      <c r="E8" s="9"/>
      <c r="F8" s="9"/>
      <c r="G8" s="9"/>
      <c r="H8" s="9"/>
      <c r="I8" s="9"/>
      <c r="J8" s="9"/>
      <c r="K8" s="15" t="str">
        <f t="shared" si="0"/>
        <v/>
      </c>
      <c r="L8" s="15"/>
      <c r="N8">
        <f t="shared" si="1"/>
        <v>0</v>
      </c>
      <c r="O8" t="str">
        <f t="shared" si="2"/>
        <v/>
      </c>
      <c r="P8">
        <f t="shared" si="3"/>
        <v>-1</v>
      </c>
      <c r="Q8">
        <f t="shared" si="4"/>
        <v>-1</v>
      </c>
      <c r="R8">
        <f t="shared" si="5"/>
        <v>-1</v>
      </c>
      <c r="S8">
        <f t="shared" si="6"/>
        <v>-1</v>
      </c>
      <c r="T8">
        <f t="shared" si="7"/>
        <v>-1</v>
      </c>
      <c r="U8">
        <f t="shared" si="8"/>
        <v>1</v>
      </c>
    </row>
    <row r="9" spans="1:21">
      <c r="A9" s="15" t="s">
        <v>86</v>
      </c>
      <c r="B9" s="15" t="s">
        <v>125</v>
      </c>
      <c r="C9" s="15">
        <f>SUMIF('В07 Пристрої'!$E$5:$E$25,A9,'В07 Пристрої'!$C$5:$C$25)</f>
        <v>0</v>
      </c>
      <c r="D9" s="15">
        <v>100</v>
      </c>
      <c r="E9" s="9"/>
      <c r="F9" s="9"/>
      <c r="G9" s="9"/>
      <c r="H9" s="9"/>
      <c r="I9" s="9"/>
      <c r="J9" s="9"/>
      <c r="K9" s="15" t="str">
        <f t="shared" si="0"/>
        <v/>
      </c>
      <c r="L9" s="15"/>
      <c r="N9">
        <f t="shared" si="1"/>
        <v>0</v>
      </c>
      <c r="O9" t="str">
        <f t="shared" si="2"/>
        <v/>
      </c>
      <c r="P9">
        <f t="shared" si="3"/>
        <v>-1</v>
      </c>
      <c r="Q9">
        <f t="shared" si="4"/>
        <v>-1</v>
      </c>
      <c r="R9">
        <f t="shared" si="5"/>
        <v>-1</v>
      </c>
      <c r="S9">
        <f t="shared" si="6"/>
        <v>-1</v>
      </c>
      <c r="T9">
        <f t="shared" si="7"/>
        <v>-1</v>
      </c>
      <c r="U9">
        <f t="shared" si="8"/>
        <v>1</v>
      </c>
    </row>
    <row r="10" spans="1:21">
      <c r="A10" s="15" t="s">
        <v>89</v>
      </c>
      <c r="B10" s="15" t="s">
        <v>129</v>
      </c>
      <c r="C10" s="15">
        <f>SUMIF('В07 Пристрої'!$E$5:$E$25,A10,'В07 Пристрої'!$C$5:$C$25)</f>
        <v>0</v>
      </c>
      <c r="D10" s="15">
        <v>40</v>
      </c>
      <c r="E10" s="9"/>
      <c r="F10" s="9"/>
      <c r="G10" s="9"/>
      <c r="H10" s="9"/>
      <c r="I10" s="9"/>
      <c r="J10" s="9"/>
      <c r="K10" s="15" t="str">
        <f t="shared" si="0"/>
        <v/>
      </c>
      <c r="L10" s="15"/>
      <c r="N10">
        <f t="shared" si="1"/>
        <v>0</v>
      </c>
      <c r="O10" t="str">
        <f t="shared" si="2"/>
        <v/>
      </c>
      <c r="P10">
        <f t="shared" si="3"/>
        <v>-1</v>
      </c>
      <c r="Q10">
        <f t="shared" si="4"/>
        <v>-1</v>
      </c>
      <c r="R10">
        <f t="shared" si="5"/>
        <v>-1</v>
      </c>
      <c r="S10">
        <f t="shared" si="6"/>
        <v>-1</v>
      </c>
      <c r="T10">
        <f t="shared" si="7"/>
        <v>-1</v>
      </c>
      <c r="U10">
        <f t="shared" si="8"/>
        <v>1</v>
      </c>
    </row>
    <row r="11" spans="1:21">
      <c r="A11" s="15" t="s">
        <v>92</v>
      </c>
      <c r="B11" s="15" t="s">
        <v>132</v>
      </c>
      <c r="C11" s="15">
        <f>SUMIF('В07 Пристрої'!$E$5:$E$25,A11,'В07 Пристрої'!$C$5:$C$25)</f>
        <v>0</v>
      </c>
      <c r="D11" s="15">
        <v>25</v>
      </c>
      <c r="E11" s="9"/>
      <c r="F11" s="9"/>
      <c r="G11" s="9"/>
      <c r="H11" s="9"/>
      <c r="I11" s="9"/>
      <c r="J11" s="9"/>
      <c r="K11" s="15" t="str">
        <f t="shared" si="0"/>
        <v/>
      </c>
      <c r="L11" s="15"/>
      <c r="N11">
        <f t="shared" si="1"/>
        <v>0</v>
      </c>
      <c r="O11" t="str">
        <f t="shared" si="2"/>
        <v/>
      </c>
      <c r="P11">
        <f t="shared" si="3"/>
        <v>-1</v>
      </c>
      <c r="Q11">
        <f t="shared" si="4"/>
        <v>-1</v>
      </c>
      <c r="R11">
        <f t="shared" si="5"/>
        <v>-1</v>
      </c>
      <c r="S11">
        <f t="shared" si="6"/>
        <v>-1</v>
      </c>
      <c r="T11">
        <f t="shared" si="7"/>
        <v>-1</v>
      </c>
      <c r="U11">
        <f t="shared" si="8"/>
        <v>1</v>
      </c>
    </row>
    <row r="12" spans="1:21">
      <c r="A12" s="15" t="s">
        <v>146</v>
      </c>
      <c r="B12" s="9"/>
      <c r="C12" s="15">
        <f>SUMIF('В07 Пристрої'!$E$5:$E$25,A12,'В07 Пристрої'!$C$5:$C$25)</f>
        <v>0</v>
      </c>
      <c r="D12" s="9"/>
      <c r="E12" s="9"/>
      <c r="F12" s="9"/>
      <c r="G12" s="9"/>
      <c r="H12" s="9"/>
      <c r="I12" s="9"/>
      <c r="J12" s="9"/>
      <c r="K12" s="15" t="str">
        <f t="shared" si="0"/>
        <v/>
      </c>
      <c r="L12" s="15"/>
      <c r="N12">
        <f t="shared" si="1"/>
        <v>0</v>
      </c>
      <c r="O12" t="str">
        <f t="shared" si="2"/>
        <v/>
      </c>
      <c r="P12">
        <f t="shared" si="3"/>
        <v>-1</v>
      </c>
      <c r="Q12">
        <f t="shared" si="4"/>
        <v>-1</v>
      </c>
      <c r="R12">
        <f t="shared" si="5"/>
        <v>-1</v>
      </c>
      <c r="S12">
        <f t="shared" si="6"/>
        <v>-1</v>
      </c>
      <c r="T12">
        <f t="shared" si="7"/>
        <v>-1</v>
      </c>
      <c r="U12">
        <f t="shared" si="8"/>
        <v>1</v>
      </c>
    </row>
    <row r="13" spans="1:21">
      <c r="A13" s="15" t="s">
        <v>147</v>
      </c>
      <c r="B13" s="9"/>
      <c r="C13" s="15">
        <f>SUMIF('В07 Пристрої'!$E$5:$E$25,A13,'В07 Пристрої'!$C$5:$C$25)</f>
        <v>0</v>
      </c>
      <c r="D13" s="9"/>
      <c r="E13" s="9"/>
      <c r="F13" s="9"/>
      <c r="G13" s="9"/>
      <c r="H13" s="9"/>
      <c r="I13" s="9"/>
      <c r="J13" s="9"/>
      <c r="K13" s="15" t="str">
        <f t="shared" si="0"/>
        <v/>
      </c>
      <c r="L13" s="15"/>
      <c r="N13">
        <f t="shared" si="1"/>
        <v>0</v>
      </c>
      <c r="O13" t="str">
        <f t="shared" si="2"/>
        <v/>
      </c>
      <c r="P13">
        <f t="shared" si="3"/>
        <v>-1</v>
      </c>
      <c r="Q13">
        <f t="shared" si="4"/>
        <v>-1</v>
      </c>
      <c r="R13">
        <f t="shared" si="5"/>
        <v>-1</v>
      </c>
      <c r="S13">
        <f t="shared" si="6"/>
        <v>-1</v>
      </c>
      <c r="T13">
        <f t="shared" si="7"/>
        <v>-1</v>
      </c>
      <c r="U13">
        <f t="shared" si="8"/>
        <v>1</v>
      </c>
    </row>
    <row r="16" spans="1:21">
      <c r="B16" s="12" t="s">
        <v>148</v>
      </c>
    </row>
    <row r="17" spans="2:12">
      <c r="B17" s="6" t="s">
        <v>149</v>
      </c>
      <c r="C17" s="9"/>
    </row>
    <row r="18" spans="2:12">
      <c r="B18" s="6" t="s">
        <v>150</v>
      </c>
      <c r="C18" s="9"/>
    </row>
    <row r="20" spans="2:12" ht="25.5">
      <c r="B20" s="6" t="s">
        <v>151</v>
      </c>
      <c r="C20" s="9"/>
      <c r="L20" s="15" t="str">
        <f>IF(C20="","заповніть native VLAN",IF(NOT(AND(ISNUMBER(C20),C20&gt;=2,C20&lt;=254,C20=INT(C20))),"ціле число від 2 до 254",IF(COUNTIF($F$5:$F$13,C20)&gt;0,"native VLAN не має збігатися з VLAN зони",IF(AND(C17&lt;&gt;"",C18&lt;&gt;"",C20&gt;=C17,C20&lt;=C18),"native VLAN у зарезервованому діапазоні","ОК"))))</f>
        <v>заповніть native VLAN</v>
      </c>
    </row>
  </sheetData>
  <sheetProtection sheet="1" formatCells="0"/>
  <conditionalFormatting sqref="L5:L13">
    <cfRule type="expression" dxfId="29" priority="1">
      <formula>L5="ОК"</formula>
    </cfRule>
    <cfRule type="expression" dxfId="28" priority="2">
      <formula>AND(L5&lt;&gt;"",L5&lt;&gt;"ОК")</formula>
    </cfRule>
  </conditionalFormatting>
  <conditionalFormatting sqref="L20">
    <cfRule type="expression" dxfId="27" priority="3">
      <formula>L20="ОК"</formula>
    </cfRule>
    <cfRule type="expression" dxfId="26" priority="4">
      <formula>L20&lt;&gt;"ОК"</formula>
    </cfRule>
  </conditionalFormatting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833C0B"/>
  </sheetPr>
  <dimension ref="A1:B11"/>
  <sheetViews>
    <sheetView workbookViewId="0"/>
  </sheetViews>
  <sheetFormatPr defaultRowHeight="15"/>
  <cols>
    <col min="1" max="1" width="66" customWidth="1"/>
    <col min="2" max="2" width="22" customWidth="1"/>
  </cols>
  <sheetData>
    <row r="1" spans="1:2" ht="19.5">
      <c r="A1" s="3" t="s">
        <v>152</v>
      </c>
    </row>
    <row r="2" spans="1:2">
      <c r="A2" s="4" t="s">
        <v>153</v>
      </c>
    </row>
    <row r="4" spans="1:2">
      <c r="A4" s="15" t="s">
        <v>154</v>
      </c>
      <c r="B4" s="15">
        <f>SUM('В07 Пристрої'!C5:C25)</f>
        <v>75</v>
      </c>
    </row>
    <row r="5" spans="1:2">
      <c r="A5" s="15" t="s">
        <v>155</v>
      </c>
      <c r="B5" s="15">
        <f>COUNTIFS('В07 Пристрої'!C5:C25,"&gt;0",'В07 Пристрої'!E5:E25,"")</f>
        <v>16</v>
      </c>
    </row>
    <row r="6" spans="1:2">
      <c r="A6" s="15" t="s">
        <v>156</v>
      </c>
      <c r="B6" s="15">
        <f>COUNTIF('В07 Пристрої'!F5:F25,"тип*")</f>
        <v>0</v>
      </c>
    </row>
    <row r="7" spans="1:2">
      <c r="A7" s="15" t="s">
        <v>157</v>
      </c>
      <c r="B7" s="15">
        <f>COUNTIFS('В07 Зони й адреси'!L5:L13,"&lt;&gt;ОК",'В07 Зони й адреси'!C5:C13,"&gt;0")</f>
        <v>0</v>
      </c>
    </row>
    <row r="8" spans="1:2">
      <c r="A8" s="15" t="s">
        <v>158</v>
      </c>
      <c r="B8" s="15">
        <f>IF('В07 Зони й адреси'!L20="ОК",0,1)</f>
        <v>1</v>
      </c>
    </row>
    <row r="9" spans="1:2">
      <c r="A9" s="15" t="s">
        <v>159</v>
      </c>
      <c r="B9" s="15">
        <f>MAX(0,COUNTIF('В07 Пристрої'!D5:D25,"потребує рішення")-COUNTA('В07 Обґрунтування'!C5:C12))</f>
        <v>2</v>
      </c>
    </row>
    <row r="10" spans="1:2">
      <c r="A10" s="15" t="s">
        <v>160</v>
      </c>
      <c r="B10" s="15">
        <f>COUNTA('В07 Чернетка колеги'!A15:A17)</f>
        <v>0</v>
      </c>
    </row>
    <row r="11" spans="1:2">
      <c r="A11" s="15" t="s">
        <v>161</v>
      </c>
      <c r="B11" s="15" t="str">
        <f>IF(AND(B5=0,B6=0,B7=0,B8=0,B9=0,B10&gt;=3),"Можна здавати","Є що виправити")</f>
        <v>Є що виправити</v>
      </c>
    </row>
  </sheetData>
  <sheetProtection sheet="1" formatCells="0"/>
  <conditionalFormatting sqref="B11">
    <cfRule type="expression" dxfId="25" priority="1">
      <formula>B11="Можна здавати"</formula>
    </cfRule>
    <cfRule type="expression" dxfId="24" priority="2">
      <formula>B11&lt;&gt;"Можна здавати"</formula>
    </cfRule>
  </conditionalFormatting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833C0B"/>
  </sheetPr>
  <dimension ref="A1:C23"/>
  <sheetViews>
    <sheetView workbookViewId="0"/>
  </sheetViews>
  <sheetFormatPr defaultRowHeight="15"/>
  <cols>
    <col min="1" max="1" width="40" customWidth="1"/>
    <col min="2" max="2" width="14" customWidth="1"/>
    <col min="3" max="3" width="100" customWidth="1"/>
  </cols>
  <sheetData>
    <row r="1" spans="1:3" ht="19.5">
      <c r="A1" s="3" t="s">
        <v>162</v>
      </c>
    </row>
    <row r="2" spans="1:3">
      <c r="A2" s="4" t="s">
        <v>163</v>
      </c>
    </row>
    <row r="4" spans="1:3" ht="30" customHeight="1">
      <c r="A4" s="13" t="s">
        <v>164</v>
      </c>
      <c r="B4" s="13" t="s">
        <v>71</v>
      </c>
      <c r="C4" s="13" t="s">
        <v>165</v>
      </c>
    </row>
    <row r="5" spans="1:3" ht="25.5">
      <c r="A5" s="15" t="s">
        <v>103</v>
      </c>
      <c r="B5" s="9"/>
      <c r="C5" s="9"/>
    </row>
    <row r="6" spans="1:3">
      <c r="A6" s="15" t="s">
        <v>196</v>
      </c>
      <c r="B6" s="9"/>
      <c r="C6" s="9"/>
    </row>
    <row r="7" spans="1:3">
      <c r="A7" s="9"/>
      <c r="B7" s="9"/>
      <c r="C7" s="9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9"/>
      <c r="B12" s="9"/>
      <c r="C12" s="9"/>
    </row>
    <row r="15" spans="1:3">
      <c r="A15" s="26" t="s">
        <v>166</v>
      </c>
      <c r="B15" s="21"/>
      <c r="C15" s="21"/>
    </row>
    <row r="16" spans="1:3" ht="39.950000000000003" customHeight="1">
      <c r="A16" s="19"/>
      <c r="B16" s="27"/>
      <c r="C16" s="28"/>
    </row>
    <row r="17" spans="1:3">
      <c r="A17" s="29"/>
      <c r="B17" s="30"/>
      <c r="C17" s="31"/>
    </row>
    <row r="18" spans="1:3">
      <c r="A18" s="26" t="s">
        <v>167</v>
      </c>
      <c r="B18" s="21"/>
      <c r="C18" s="21"/>
    </row>
    <row r="19" spans="1:3" ht="39.950000000000003" customHeight="1">
      <c r="A19" s="19"/>
      <c r="B19" s="27"/>
      <c r="C19" s="28"/>
    </row>
    <row r="20" spans="1:3">
      <c r="A20" s="29"/>
      <c r="B20" s="30"/>
      <c r="C20" s="31"/>
    </row>
    <row r="21" spans="1:3">
      <c r="A21" s="26" t="s">
        <v>168</v>
      </c>
      <c r="B21" s="21"/>
      <c r="C21" s="21"/>
    </row>
    <row r="22" spans="1:3" ht="39.950000000000003" customHeight="1">
      <c r="A22" s="19"/>
      <c r="B22" s="27"/>
      <c r="C22" s="28"/>
    </row>
    <row r="23" spans="1:3">
      <c r="A23" s="29"/>
      <c r="B23" s="30"/>
      <c r="C23" s="31"/>
    </row>
  </sheetData>
  <sheetProtection sheet="1" formatCells="0"/>
  <mergeCells count="6">
    <mergeCell ref="A15:C15"/>
    <mergeCell ref="A16:C17"/>
    <mergeCell ref="A19:C20"/>
    <mergeCell ref="A18:C18"/>
    <mergeCell ref="A22:C23"/>
    <mergeCell ref="A21:C2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3A7D7B"/>
  </sheetPr>
  <dimension ref="A1:B16"/>
  <sheetViews>
    <sheetView workbookViewId="0"/>
  </sheetViews>
  <sheetFormatPr defaultRowHeight="15"/>
  <cols>
    <col min="1" max="1" width="26" customWidth="1"/>
    <col min="2" max="2" width="104" customWidth="1"/>
  </cols>
  <sheetData>
    <row r="1" spans="1:2" ht="19.5">
      <c r="A1" s="3" t="s">
        <v>286</v>
      </c>
    </row>
    <row r="2" spans="1:2">
      <c r="A2" s="4" t="s">
        <v>25</v>
      </c>
    </row>
    <row r="4" spans="1:2">
      <c r="A4" s="5" t="s">
        <v>26</v>
      </c>
      <c r="B4" s="6"/>
    </row>
    <row r="5" spans="1:2" ht="25.5">
      <c r="A5" s="7" t="s">
        <v>27</v>
      </c>
      <c r="B5" s="6" t="s">
        <v>28</v>
      </c>
    </row>
    <row r="6" spans="1:2" ht="25.5">
      <c r="A6" s="7" t="s">
        <v>29</v>
      </c>
      <c r="B6" s="6" t="s">
        <v>30</v>
      </c>
    </row>
    <row r="7" spans="1:2" ht="25.5">
      <c r="A7" s="7" t="s">
        <v>31</v>
      </c>
      <c r="B7" s="6" t="s">
        <v>32</v>
      </c>
    </row>
    <row r="8" spans="1:2">
      <c r="A8" s="7" t="s">
        <v>33</v>
      </c>
      <c r="B8" s="6" t="s">
        <v>34</v>
      </c>
    </row>
    <row r="9" spans="1:2" ht="25.5">
      <c r="A9" s="7" t="s">
        <v>35</v>
      </c>
      <c r="B9" s="6" t="s">
        <v>36</v>
      </c>
    </row>
    <row r="10" spans="1:2">
      <c r="A10" s="7" t="s">
        <v>37</v>
      </c>
      <c r="B10" s="6" t="s">
        <v>38</v>
      </c>
    </row>
    <row r="11" spans="1:2">
      <c r="A11" s="7"/>
      <c r="B11" s="6"/>
    </row>
    <row r="12" spans="1:2">
      <c r="A12" s="7" t="s">
        <v>39</v>
      </c>
      <c r="B12" s="6" t="s">
        <v>40</v>
      </c>
    </row>
    <row r="13" spans="1:2">
      <c r="A13" s="7" t="s">
        <v>41</v>
      </c>
      <c r="B13" s="6" t="s">
        <v>42</v>
      </c>
    </row>
    <row r="14" spans="1:2" ht="25.5">
      <c r="A14" s="7" t="s">
        <v>43</v>
      </c>
      <c r="B14" s="6" t="s">
        <v>44</v>
      </c>
    </row>
    <row r="15" spans="1:2" ht="25.5">
      <c r="A15" s="7" t="s">
        <v>45</v>
      </c>
      <c r="B15" s="6" t="s">
        <v>46</v>
      </c>
    </row>
    <row r="16" spans="1:2">
      <c r="A16" s="7" t="s">
        <v>47</v>
      </c>
      <c r="B16" s="6" t="s">
        <v>48</v>
      </c>
    </row>
  </sheetData>
  <sheetProtection sheet="1" formatCells="0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3A7D7B"/>
  </sheetPr>
  <dimension ref="A1:B13"/>
  <sheetViews>
    <sheetView workbookViewId="0"/>
  </sheetViews>
  <sheetFormatPr defaultRowHeight="15"/>
  <cols>
    <col min="1" max="1" width="36" customWidth="1"/>
    <col min="2" max="2" width="70" customWidth="1"/>
  </cols>
  <sheetData>
    <row r="1" spans="1:2" ht="19.5">
      <c r="A1" s="3" t="s">
        <v>287</v>
      </c>
    </row>
    <row r="3" spans="1:2">
      <c r="A3" s="8" t="s">
        <v>50</v>
      </c>
      <c r="B3" s="9"/>
    </row>
    <row r="4" spans="1:2">
      <c r="A4" s="8" t="s">
        <v>51</v>
      </c>
      <c r="B4" s="10" t="s">
        <v>288</v>
      </c>
    </row>
    <row r="5" spans="1:2">
      <c r="A5" s="8" t="s">
        <v>53</v>
      </c>
      <c r="B5" s="10">
        <v>209</v>
      </c>
    </row>
    <row r="6" spans="1:2">
      <c r="A6" s="8" t="s">
        <v>54</v>
      </c>
      <c r="B6" s="10" t="s">
        <v>172</v>
      </c>
    </row>
    <row r="7" spans="1:2" ht="25.5">
      <c r="A7" s="8" t="s">
        <v>56</v>
      </c>
      <c r="B7" s="10" t="s">
        <v>289</v>
      </c>
    </row>
    <row r="8" spans="1:2" ht="25.5">
      <c r="A8" s="8" t="s">
        <v>58</v>
      </c>
      <c r="B8" s="10" t="s">
        <v>290</v>
      </c>
    </row>
    <row r="10" spans="1:2" ht="15.75">
      <c r="A10" s="11" t="s">
        <v>60</v>
      </c>
    </row>
    <row r="11" spans="1:2">
      <c r="A11" s="18" t="s">
        <v>61</v>
      </c>
      <c r="B11" s="21"/>
    </row>
    <row r="12" spans="1:2">
      <c r="A12" s="21"/>
      <c r="B12" s="21"/>
    </row>
    <row r="13" spans="1:2">
      <c r="A13" s="21"/>
      <c r="B13" s="21"/>
    </row>
  </sheetData>
  <sheetProtection sheet="1" formatCells="0"/>
  <mergeCells count="1">
    <mergeCell ref="A11:B1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3A7D7B"/>
  </sheetPr>
  <dimension ref="A1:I25"/>
  <sheetViews>
    <sheetView workbookViewId="0"/>
  </sheetViews>
  <sheetFormatPr defaultRowHeight="15"/>
  <cols>
    <col min="1" max="1" width="5" customWidth="1"/>
    <col min="2" max="2" width="56" customWidth="1"/>
    <col min="3" max="3" width="11" customWidth="1"/>
    <col min="4" max="4" width="24" customWidth="1"/>
    <col min="5" max="5" width="16" customWidth="1"/>
    <col min="6" max="6" width="40" customWidth="1"/>
    <col min="7" max="7" width="3" customWidth="1"/>
    <col min="8" max="8" width="24" customWidth="1"/>
    <col min="9" max="9" width="14" customWidth="1"/>
  </cols>
  <sheetData>
    <row r="1" spans="1:9" ht="19.5">
      <c r="A1" s="3" t="s">
        <v>62</v>
      </c>
    </row>
    <row r="2" spans="1:9">
      <c r="A2" s="4" t="s">
        <v>63</v>
      </c>
    </row>
    <row r="3" spans="1:9">
      <c r="H3" s="12" t="s">
        <v>64</v>
      </c>
    </row>
    <row r="4" spans="1:9" ht="39.950000000000003" customHeight="1">
      <c r="A4" s="13" t="s">
        <v>65</v>
      </c>
      <c r="B4" s="13" t="s">
        <v>66</v>
      </c>
      <c r="C4" s="13" t="s">
        <v>67</v>
      </c>
      <c r="D4" s="13" t="s">
        <v>68</v>
      </c>
      <c r="E4" s="13" t="s">
        <v>69</v>
      </c>
      <c r="F4" s="13" t="s">
        <v>70</v>
      </c>
      <c r="H4" s="14" t="s">
        <v>68</v>
      </c>
      <c r="I4" s="14" t="s">
        <v>71</v>
      </c>
    </row>
    <row r="5" spans="1:9">
      <c r="A5" s="15">
        <v>1</v>
      </c>
      <c r="B5" s="15" t="s">
        <v>72</v>
      </c>
      <c r="C5" s="15">
        <v>4</v>
      </c>
      <c r="D5" s="15" t="s">
        <v>73</v>
      </c>
      <c r="E5" s="9"/>
      <c r="F5" s="15" t="str">
        <f t="shared" ref="F5:F25" si="0">IF(C5="","",IF(D5="","вкажіть тип",IF(E5="","призначте зону",IF(D5="потребує рішення","рішення поясніть на аркуші «Обґрунтування»",IF(IFERROR(VLOOKUP(D5,$H$5:$I$11,2,FALSE),"?")=E5,"ОК","тип пристрою не відповідає зоні")))))</f>
        <v>призначте зону</v>
      </c>
      <c r="H5" s="15" t="s">
        <v>73</v>
      </c>
      <c r="I5" s="15" t="s">
        <v>74</v>
      </c>
    </row>
    <row r="6" spans="1:9">
      <c r="A6" s="15">
        <v>2</v>
      </c>
      <c r="B6" s="15" t="s">
        <v>75</v>
      </c>
      <c r="C6" s="15">
        <v>2</v>
      </c>
      <c r="D6" s="15" t="s">
        <v>73</v>
      </c>
      <c r="E6" s="9"/>
      <c r="F6" s="15" t="str">
        <f t="shared" si="0"/>
        <v>призначте зону</v>
      </c>
      <c r="H6" s="15" t="s">
        <v>76</v>
      </c>
      <c r="I6" s="15" t="s">
        <v>77</v>
      </c>
    </row>
    <row r="7" spans="1:9">
      <c r="A7" s="15">
        <v>3</v>
      </c>
      <c r="B7" s="15" t="s">
        <v>78</v>
      </c>
      <c r="C7" s="15">
        <v>6</v>
      </c>
      <c r="D7" s="15" t="s">
        <v>76</v>
      </c>
      <c r="E7" s="9"/>
      <c r="F7" s="15" t="str">
        <f t="shared" si="0"/>
        <v>призначте зону</v>
      </c>
      <c r="H7" s="15" t="s">
        <v>79</v>
      </c>
      <c r="I7" s="15" t="s">
        <v>80</v>
      </c>
    </row>
    <row r="8" spans="1:9">
      <c r="A8" s="15">
        <v>4</v>
      </c>
      <c r="B8" s="15" t="s">
        <v>81</v>
      </c>
      <c r="C8" s="15">
        <v>3</v>
      </c>
      <c r="D8" s="15" t="s">
        <v>79</v>
      </c>
      <c r="E8" s="9"/>
      <c r="F8" s="15" t="str">
        <f t="shared" si="0"/>
        <v>призначте зону</v>
      </c>
      <c r="H8" s="15" t="s">
        <v>82</v>
      </c>
      <c r="I8" s="15" t="s">
        <v>83</v>
      </c>
    </row>
    <row r="9" spans="1:9">
      <c r="A9" s="15">
        <v>5</v>
      </c>
      <c r="B9" s="15" t="s">
        <v>84</v>
      </c>
      <c r="C9" s="15">
        <v>2</v>
      </c>
      <c r="D9" s="15" t="s">
        <v>82</v>
      </c>
      <c r="E9" s="9"/>
      <c r="F9" s="15" t="str">
        <f t="shared" si="0"/>
        <v>призначте зону</v>
      </c>
      <c r="H9" s="15" t="s">
        <v>85</v>
      </c>
      <c r="I9" s="15" t="s">
        <v>86</v>
      </c>
    </row>
    <row r="10" spans="1:9">
      <c r="A10" s="15">
        <v>6</v>
      </c>
      <c r="B10" s="15" t="s">
        <v>87</v>
      </c>
      <c r="C10" s="15">
        <v>8</v>
      </c>
      <c r="D10" s="15" t="s">
        <v>82</v>
      </c>
      <c r="E10" s="9"/>
      <c r="F10" s="15" t="str">
        <f t="shared" si="0"/>
        <v>призначте зону</v>
      </c>
      <c r="H10" s="15" t="s">
        <v>88</v>
      </c>
      <c r="I10" s="15" t="s">
        <v>89</v>
      </c>
    </row>
    <row r="11" spans="1:9">
      <c r="A11" s="15">
        <v>7</v>
      </c>
      <c r="B11" s="15" t="s">
        <v>90</v>
      </c>
      <c r="C11" s="15">
        <v>12</v>
      </c>
      <c r="D11" s="15" t="s">
        <v>85</v>
      </c>
      <c r="E11" s="9"/>
      <c r="F11" s="15" t="str">
        <f t="shared" si="0"/>
        <v>призначте зону</v>
      </c>
      <c r="H11" s="15" t="s">
        <v>91</v>
      </c>
      <c r="I11" s="15" t="s">
        <v>92</v>
      </c>
    </row>
    <row r="12" spans="1:9">
      <c r="A12" s="15">
        <v>8</v>
      </c>
      <c r="B12" s="15" t="s">
        <v>93</v>
      </c>
      <c r="C12" s="15">
        <v>5</v>
      </c>
      <c r="D12" s="15" t="s">
        <v>85</v>
      </c>
      <c r="E12" s="9"/>
      <c r="F12" s="15" t="str">
        <f t="shared" si="0"/>
        <v>призначте зону</v>
      </c>
      <c r="H12" s="16" t="s">
        <v>94</v>
      </c>
    </row>
    <row r="13" spans="1:9">
      <c r="A13" s="15">
        <v>9</v>
      </c>
      <c r="B13" s="15" t="s">
        <v>95</v>
      </c>
      <c r="C13" s="15">
        <v>5</v>
      </c>
      <c r="D13" s="15" t="s">
        <v>85</v>
      </c>
      <c r="E13" s="9"/>
      <c r="F13" s="15" t="str">
        <f t="shared" si="0"/>
        <v>призначте зону</v>
      </c>
    </row>
    <row r="14" spans="1:9">
      <c r="A14" s="15">
        <v>10</v>
      </c>
      <c r="B14" s="15" t="s">
        <v>96</v>
      </c>
      <c r="C14" s="15">
        <v>80</v>
      </c>
      <c r="D14" s="15" t="s">
        <v>88</v>
      </c>
      <c r="E14" s="9"/>
      <c r="F14" s="15" t="str">
        <f t="shared" si="0"/>
        <v>призначте зону</v>
      </c>
    </row>
    <row r="15" spans="1:9">
      <c r="A15" s="15">
        <v>11</v>
      </c>
      <c r="B15" s="15" t="s">
        <v>97</v>
      </c>
      <c r="C15" s="15">
        <v>2</v>
      </c>
      <c r="D15" s="15" t="s">
        <v>91</v>
      </c>
      <c r="E15" s="9"/>
      <c r="F15" s="15" t="str">
        <f t="shared" si="0"/>
        <v>призначте зону</v>
      </c>
    </row>
    <row r="16" spans="1:9">
      <c r="A16" s="15">
        <v>12</v>
      </c>
      <c r="B16" s="15" t="s">
        <v>98</v>
      </c>
      <c r="C16" s="15">
        <v>3</v>
      </c>
      <c r="D16" s="15" t="s">
        <v>91</v>
      </c>
      <c r="E16" s="9"/>
      <c r="F16" s="15" t="str">
        <f t="shared" si="0"/>
        <v>призначте зону</v>
      </c>
    </row>
    <row r="17" spans="1:6">
      <c r="A17" s="15">
        <v>13</v>
      </c>
      <c r="B17" s="15" t="s">
        <v>99</v>
      </c>
      <c r="C17" s="15">
        <v>2</v>
      </c>
      <c r="D17" s="15" t="s">
        <v>91</v>
      </c>
      <c r="E17" s="9"/>
      <c r="F17" s="15" t="str">
        <f t="shared" si="0"/>
        <v>призначте зону</v>
      </c>
    </row>
    <row r="18" spans="1:6">
      <c r="A18" s="15">
        <v>14</v>
      </c>
      <c r="B18" s="15" t="s">
        <v>100</v>
      </c>
      <c r="C18" s="15">
        <v>1</v>
      </c>
      <c r="D18" s="15" t="s">
        <v>91</v>
      </c>
      <c r="E18" s="9"/>
      <c r="F18" s="15" t="str">
        <f t="shared" si="0"/>
        <v>призначте зону</v>
      </c>
    </row>
    <row r="19" spans="1:6">
      <c r="A19" s="15">
        <v>15</v>
      </c>
      <c r="B19" s="15" t="s">
        <v>197</v>
      </c>
      <c r="C19" s="15">
        <v>1</v>
      </c>
      <c r="D19" s="15" t="s">
        <v>102</v>
      </c>
      <c r="E19" s="9"/>
      <c r="F19" s="15" t="str">
        <f t="shared" si="0"/>
        <v>призначте зону</v>
      </c>
    </row>
    <row r="20" spans="1:6">
      <c r="A20" s="15">
        <v>16</v>
      </c>
      <c r="B20" s="15" t="s">
        <v>175</v>
      </c>
      <c r="C20" s="15">
        <v>2</v>
      </c>
      <c r="D20" s="15" t="s">
        <v>102</v>
      </c>
      <c r="E20" s="9"/>
      <c r="F20" s="15" t="str">
        <f t="shared" si="0"/>
        <v>призначте зону</v>
      </c>
    </row>
    <row r="21" spans="1:6">
      <c r="A21" s="17">
        <v>17</v>
      </c>
      <c r="B21" s="9"/>
      <c r="C21" s="9"/>
      <c r="D21" s="9"/>
      <c r="E21" s="9"/>
      <c r="F21" s="15" t="str">
        <f t="shared" si="0"/>
        <v/>
      </c>
    </row>
    <row r="22" spans="1:6">
      <c r="A22" s="17">
        <v>18</v>
      </c>
      <c r="B22" s="9"/>
      <c r="C22" s="9"/>
      <c r="D22" s="9"/>
      <c r="E22" s="9"/>
      <c r="F22" s="15" t="str">
        <f t="shared" si="0"/>
        <v/>
      </c>
    </row>
    <row r="23" spans="1:6">
      <c r="A23" s="17">
        <v>19</v>
      </c>
      <c r="B23" s="9"/>
      <c r="C23" s="9"/>
      <c r="D23" s="9"/>
      <c r="E23" s="9"/>
      <c r="F23" s="15" t="str">
        <f t="shared" si="0"/>
        <v/>
      </c>
    </row>
    <row r="24" spans="1:6">
      <c r="A24" s="17">
        <v>20</v>
      </c>
      <c r="B24" s="9"/>
      <c r="C24" s="9"/>
      <c r="D24" s="9"/>
      <c r="E24" s="9"/>
      <c r="F24" s="15" t="str">
        <f t="shared" si="0"/>
        <v/>
      </c>
    </row>
    <row r="25" spans="1:6">
      <c r="A25" s="17">
        <v>21</v>
      </c>
      <c r="B25" s="9"/>
      <c r="C25" s="9"/>
      <c r="D25" s="9"/>
      <c r="E25" s="9"/>
      <c r="F25" s="15" t="str">
        <f t="shared" si="0"/>
        <v/>
      </c>
    </row>
  </sheetData>
  <sheetProtection sheet="1" formatCells="0"/>
  <conditionalFormatting sqref="F5:F25">
    <cfRule type="expression" dxfId="23" priority="1">
      <formula>F5="ОК"</formula>
    </cfRule>
    <cfRule type="expression" dxfId="22" priority="2">
      <formula>OR(LEFT(F5,3)="тип",F5="призначте зону",F5="вкажіть тип")</formula>
    </cfRule>
  </conditionalFormatting>
  <dataValidations count="2">
    <dataValidation type="list" allowBlank="1" sqref="E5:E25" xr:uid="{00000000-0002-0000-3400-000000000000}">
      <formula1>"KASA,MANAGERS,ABS,ATM_POS,IOT,GUEST,MGMT,NEW1,NEW2"</formula1>
    </dataValidation>
    <dataValidation type="list" allowBlank="1" sqref="D21:D25" xr:uid="{00000000-0002-0000-3400-000001000000}">
      <formula1>"каса,менеджер,АБС,платіжний пристрій,без користувача,клієнтські пристрої,мережеве обладнання,потребує рішення"</formula1>
    </dataValidation>
  </dataValidation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3A7D7B"/>
  </sheetPr>
  <dimension ref="A1:G17"/>
  <sheetViews>
    <sheetView workbookViewId="0"/>
  </sheetViews>
  <sheetFormatPr defaultRowHeight="15"/>
  <cols>
    <col min="1" max="1" width="6" customWidth="1"/>
    <col min="2" max="2" width="26" customWidth="1"/>
    <col min="3" max="3" width="14" customWidth="1"/>
    <col min="4" max="4" width="9" customWidth="1"/>
    <col min="5" max="5" width="20" customWidth="1"/>
    <col min="6" max="6" width="10" customWidth="1"/>
    <col min="7" max="7" width="20" customWidth="1"/>
  </cols>
  <sheetData>
    <row r="1" spans="1:7" ht="19.5">
      <c r="A1" s="3" t="s">
        <v>104</v>
      </c>
    </row>
    <row r="2" spans="1:7">
      <c r="A2" s="4" t="s">
        <v>105</v>
      </c>
    </row>
    <row r="4" spans="1:7" ht="39.950000000000003" customHeight="1">
      <c r="A4" s="13" t="s">
        <v>65</v>
      </c>
      <c r="B4" s="13" t="s">
        <v>71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47</v>
      </c>
    </row>
    <row r="5" spans="1:7">
      <c r="A5" s="15">
        <v>1</v>
      </c>
      <c r="B5" s="15" t="s">
        <v>110</v>
      </c>
      <c r="C5" s="15">
        <v>8</v>
      </c>
      <c r="D5" s="15">
        <v>130</v>
      </c>
      <c r="E5" s="15" t="s">
        <v>291</v>
      </c>
      <c r="F5" s="15" t="s">
        <v>112</v>
      </c>
      <c r="G5" s="15" t="s">
        <v>292</v>
      </c>
    </row>
    <row r="6" spans="1:7">
      <c r="A6" s="15">
        <v>2</v>
      </c>
      <c r="B6" s="15" t="s">
        <v>114</v>
      </c>
      <c r="C6" s="15">
        <v>9</v>
      </c>
      <c r="D6" s="15">
        <v>140</v>
      </c>
      <c r="E6" s="15" t="s">
        <v>293</v>
      </c>
      <c r="F6" s="15" t="s">
        <v>112</v>
      </c>
      <c r="G6" s="15" t="s">
        <v>294</v>
      </c>
    </row>
    <row r="7" spans="1:7">
      <c r="A7" s="15">
        <v>3</v>
      </c>
      <c r="B7" s="15" t="s">
        <v>118</v>
      </c>
      <c r="C7" s="15">
        <v>5</v>
      </c>
      <c r="D7" s="15">
        <v>1</v>
      </c>
      <c r="E7" s="15" t="s">
        <v>295</v>
      </c>
      <c r="F7" s="15" t="s">
        <v>116</v>
      </c>
      <c r="G7" s="15" t="s">
        <v>296</v>
      </c>
    </row>
    <row r="8" spans="1:7">
      <c r="A8" s="15">
        <v>4</v>
      </c>
      <c r="B8" s="15" t="s">
        <v>122</v>
      </c>
      <c r="C8" s="15">
        <v>13</v>
      </c>
      <c r="D8" s="15">
        <v>160</v>
      </c>
      <c r="E8" s="15" t="s">
        <v>297</v>
      </c>
      <c r="F8" s="15" t="s">
        <v>112</v>
      </c>
      <c r="G8" s="15" t="s">
        <v>298</v>
      </c>
    </row>
    <row r="9" spans="1:7">
      <c r="A9" s="15">
        <v>5</v>
      </c>
      <c r="B9" s="15" t="s">
        <v>125</v>
      </c>
      <c r="C9" s="15">
        <v>36</v>
      </c>
      <c r="D9" s="15">
        <v>170</v>
      </c>
      <c r="E9" s="15" t="s">
        <v>299</v>
      </c>
      <c r="F9" s="15" t="s">
        <v>127</v>
      </c>
      <c r="G9" s="15" t="s">
        <v>300</v>
      </c>
    </row>
    <row r="10" spans="1:7">
      <c r="A10" s="15">
        <v>6</v>
      </c>
      <c r="B10" s="15" t="s">
        <v>129</v>
      </c>
      <c r="C10" s="15">
        <v>104</v>
      </c>
      <c r="D10" s="15">
        <v>180</v>
      </c>
      <c r="E10" s="15" t="s">
        <v>301</v>
      </c>
      <c r="F10" s="15" t="s">
        <v>187</v>
      </c>
      <c r="G10" s="15" t="s">
        <v>302</v>
      </c>
    </row>
    <row r="11" spans="1:7">
      <c r="A11" s="15">
        <v>7</v>
      </c>
      <c r="B11" s="15" t="s">
        <v>132</v>
      </c>
      <c r="C11" s="15">
        <v>11</v>
      </c>
      <c r="D11" s="15">
        <v>190</v>
      </c>
      <c r="E11" s="15" t="s">
        <v>293</v>
      </c>
      <c r="F11" s="15" t="s">
        <v>112</v>
      </c>
      <c r="G11" s="15" t="s">
        <v>294</v>
      </c>
    </row>
    <row r="13" spans="1:7" ht="15.75">
      <c r="A13" s="11" t="s">
        <v>133</v>
      </c>
    </row>
    <row r="14" spans="1:7" ht="27.95" customHeight="1">
      <c r="A14" s="13" t="s">
        <v>134</v>
      </c>
      <c r="B14" s="13" t="s">
        <v>135</v>
      </c>
      <c r="C14" s="20" t="s">
        <v>136</v>
      </c>
      <c r="D14" s="22"/>
      <c r="E14" s="22"/>
      <c r="F14" s="22"/>
      <c r="G14" s="23"/>
    </row>
    <row r="15" spans="1:7">
      <c r="A15" s="9"/>
      <c r="B15" s="9"/>
      <c r="C15" s="19"/>
      <c r="D15" s="24"/>
      <c r="E15" s="24"/>
      <c r="F15" s="24"/>
      <c r="G15" s="25"/>
    </row>
    <row r="16" spans="1:7">
      <c r="A16" s="9"/>
      <c r="B16" s="9"/>
      <c r="C16" s="19"/>
      <c r="D16" s="24"/>
      <c r="E16" s="24"/>
      <c r="F16" s="24"/>
      <c r="G16" s="25"/>
    </row>
    <row r="17" spans="1:7">
      <c r="A17" s="9"/>
      <c r="B17" s="9"/>
      <c r="C17" s="19"/>
      <c r="D17" s="24"/>
      <c r="E17" s="24"/>
      <c r="F17" s="24"/>
      <c r="G17" s="25"/>
    </row>
  </sheetData>
  <sheetProtection sheet="1" formatCells="0"/>
  <mergeCells count="4">
    <mergeCell ref="C16:G16"/>
    <mergeCell ref="C15:G15"/>
    <mergeCell ref="C17:G17"/>
    <mergeCell ref="C14:G14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3A7D7B"/>
  </sheetPr>
  <dimension ref="A1:U20"/>
  <sheetViews>
    <sheetView workbookViewId="0"/>
  </sheetViews>
  <sheetFormatPr defaultRowHeight="15"/>
  <cols>
    <col min="1" max="1" width="11" customWidth="1"/>
    <col min="2" max="2" width="22" customWidth="1"/>
    <col min="3" max="3" width="10" customWidth="1"/>
    <col min="4" max="4" width="11" customWidth="1"/>
    <col min="5" max="5" width="13" customWidth="1"/>
    <col min="6" max="6" width="8" customWidth="1"/>
    <col min="7" max="8" width="16" customWidth="1"/>
    <col min="9" max="9" width="9" customWidth="1"/>
    <col min="10" max="10" width="16" customWidth="1"/>
    <col min="11" max="11" width="10" customWidth="1"/>
    <col min="12" max="12" width="56" customWidth="1"/>
    <col min="14" max="21" width="13" hidden="1" customWidth="1"/>
  </cols>
  <sheetData>
    <row r="1" spans="1:21" ht="19.5">
      <c r="A1" s="3" t="s">
        <v>137</v>
      </c>
    </row>
    <row r="2" spans="1:21">
      <c r="A2" s="4" t="s">
        <v>138</v>
      </c>
    </row>
    <row r="4" spans="1:21" ht="54" customHeight="1">
      <c r="A4" s="13" t="s">
        <v>139</v>
      </c>
      <c r="B4" s="13" t="s">
        <v>140</v>
      </c>
      <c r="C4" s="13" t="s">
        <v>141</v>
      </c>
      <c r="D4" s="13" t="s">
        <v>58</v>
      </c>
      <c r="E4" s="13" t="s">
        <v>142</v>
      </c>
      <c r="F4" s="13" t="s">
        <v>107</v>
      </c>
      <c r="G4" s="13" t="s">
        <v>143</v>
      </c>
      <c r="H4" s="13" t="s">
        <v>108</v>
      </c>
      <c r="I4" s="13" t="s">
        <v>144</v>
      </c>
      <c r="J4" s="13" t="s">
        <v>47</v>
      </c>
      <c r="K4" s="13" t="s">
        <v>145</v>
      </c>
      <c r="L4" s="13" t="s">
        <v>70</v>
      </c>
    </row>
    <row r="5" spans="1:21">
      <c r="A5" s="15" t="s">
        <v>74</v>
      </c>
      <c r="B5" s="15" t="s">
        <v>110</v>
      </c>
      <c r="C5" s="15">
        <f>SUMIF('В08 Пристрої'!$E$5:$E$25,A5,'В08 Пристрої'!$C$5:$C$25)</f>
        <v>0</v>
      </c>
      <c r="D5" s="15">
        <v>15</v>
      </c>
      <c r="E5" s="9"/>
      <c r="F5" s="9"/>
      <c r="G5" s="9"/>
      <c r="H5" s="9"/>
      <c r="I5" s="9"/>
      <c r="J5" s="9"/>
      <c r="K5" s="15" t="str">
        <f t="shared" ref="K5:K13" si="0">IF(OR(I5="",NOT(ISNUMBER(I5))),"",2^(32-I5)-2)</f>
        <v/>
      </c>
      <c r="L5" s="15"/>
      <c r="N5">
        <f t="shared" ref="N5:N13" si="1">IF(C5=0,0,ROUNDUP(ROUND(C5*(1+D5/100),6),0)+1)</f>
        <v>0</v>
      </c>
      <c r="O5" t="str">
        <f t="shared" ref="O5:O13" si="2">IF(N5=0,"",32-MAX(2,ROUNDUP(LOG(N5+2,2)-0.000001,0)))</f>
        <v/>
      </c>
      <c r="P5">
        <f t="shared" ref="P5:P13" si="3">IFERROR(VALUE(LEFT(H5,FIND(".",H5)-1)),-1)</f>
        <v>-1</v>
      </c>
      <c r="Q5">
        <f t="shared" ref="Q5:Q13" si="4">IFERROR(VALUE(MID(H5,FIND(".",H5)+1,FIND("#",SUBSTITUTE(H5,".","#",2))-FIND(".",H5)-1)),-1)</f>
        <v>-1</v>
      </c>
      <c r="R5">
        <f t="shared" ref="R5:R13" si="5">IFERROR(VALUE(MID(H5,FIND("#",SUBSTITUTE(H5,".","#",2))+1,FIND("#",SUBSTITUTE(H5,".","#",3))-FIND("#",SUBSTITUTE(H5,".","#",2))-1)),-1)</f>
        <v>-1</v>
      </c>
      <c r="S5">
        <f t="shared" ref="S5:S13" si="6">IFERROR(VALUE(MID(H5,FIND("#",SUBSTITUTE(H5,".","#",3))+1,3)),-1)</f>
        <v>-1</v>
      </c>
      <c r="T5">
        <f t="shared" ref="T5:T13" si="7">IFERROR(VALUE(MID(J5,FIND("#",SUBSTITUTE(J5,".","#",3))+1,3)),-1)</f>
        <v>-1</v>
      </c>
      <c r="U5">
        <f t="shared" ref="U5:U13" si="8">IF(IFERROR(LEFT(H5,FIND("#",SUBSTITUTE(H5,".","#",3))),"")=IFERROR(LEFT(J5,FIND("#",SUBSTITUTE(J5,".","#",3))),""),1,0)</f>
        <v>1</v>
      </c>
    </row>
    <row r="6" spans="1:21">
      <c r="A6" s="15" t="s">
        <v>77</v>
      </c>
      <c r="B6" s="15" t="s">
        <v>114</v>
      </c>
      <c r="C6" s="15">
        <f>SUMIF('В08 Пристрої'!$E$5:$E$25,A6,'В08 Пристрої'!$C$5:$C$25)</f>
        <v>0</v>
      </c>
      <c r="D6" s="15">
        <v>20</v>
      </c>
      <c r="E6" s="9"/>
      <c r="F6" s="9"/>
      <c r="G6" s="9"/>
      <c r="H6" s="9"/>
      <c r="I6" s="9"/>
      <c r="J6" s="9"/>
      <c r="K6" s="15" t="str">
        <f t="shared" si="0"/>
        <v/>
      </c>
      <c r="L6" s="15"/>
      <c r="N6">
        <f t="shared" si="1"/>
        <v>0</v>
      </c>
      <c r="O6" t="str">
        <f t="shared" si="2"/>
        <v/>
      </c>
      <c r="P6">
        <f t="shared" si="3"/>
        <v>-1</v>
      </c>
      <c r="Q6">
        <f t="shared" si="4"/>
        <v>-1</v>
      </c>
      <c r="R6">
        <f t="shared" si="5"/>
        <v>-1</v>
      </c>
      <c r="S6">
        <f t="shared" si="6"/>
        <v>-1</v>
      </c>
      <c r="T6">
        <f t="shared" si="7"/>
        <v>-1</v>
      </c>
      <c r="U6">
        <f t="shared" si="8"/>
        <v>1</v>
      </c>
    </row>
    <row r="7" spans="1:21">
      <c r="A7" s="15" t="s">
        <v>80</v>
      </c>
      <c r="B7" s="15" t="s">
        <v>118</v>
      </c>
      <c r="C7" s="15">
        <f>SUMIF('В08 Пристрої'!$E$5:$E$25,A7,'В08 Пристрої'!$C$5:$C$25)</f>
        <v>0</v>
      </c>
      <c r="D7" s="15">
        <v>30</v>
      </c>
      <c r="E7" s="9"/>
      <c r="F7" s="9"/>
      <c r="G7" s="9"/>
      <c r="H7" s="9"/>
      <c r="I7" s="9"/>
      <c r="J7" s="9"/>
      <c r="K7" s="15" t="str">
        <f t="shared" si="0"/>
        <v/>
      </c>
      <c r="L7" s="15"/>
      <c r="N7">
        <f t="shared" si="1"/>
        <v>0</v>
      </c>
      <c r="O7" t="str">
        <f t="shared" si="2"/>
        <v/>
      </c>
      <c r="P7">
        <f t="shared" si="3"/>
        <v>-1</v>
      </c>
      <c r="Q7">
        <f t="shared" si="4"/>
        <v>-1</v>
      </c>
      <c r="R7">
        <f t="shared" si="5"/>
        <v>-1</v>
      </c>
      <c r="S7">
        <f t="shared" si="6"/>
        <v>-1</v>
      </c>
      <c r="T7">
        <f t="shared" si="7"/>
        <v>-1</v>
      </c>
      <c r="U7">
        <f t="shared" si="8"/>
        <v>1</v>
      </c>
    </row>
    <row r="8" spans="1:21">
      <c r="A8" s="15" t="s">
        <v>83</v>
      </c>
      <c r="B8" s="15" t="s">
        <v>122</v>
      </c>
      <c r="C8" s="15">
        <f>SUMIF('В08 Пристрої'!$E$5:$E$25,A8,'В08 Пристрої'!$C$5:$C$25)</f>
        <v>0</v>
      </c>
      <c r="D8" s="15">
        <v>20</v>
      </c>
      <c r="E8" s="9"/>
      <c r="F8" s="9"/>
      <c r="G8" s="9"/>
      <c r="H8" s="9"/>
      <c r="I8" s="9"/>
      <c r="J8" s="9"/>
      <c r="K8" s="15" t="str">
        <f t="shared" si="0"/>
        <v/>
      </c>
      <c r="L8" s="15"/>
      <c r="N8">
        <f t="shared" si="1"/>
        <v>0</v>
      </c>
      <c r="O8" t="str">
        <f t="shared" si="2"/>
        <v/>
      </c>
      <c r="P8">
        <f t="shared" si="3"/>
        <v>-1</v>
      </c>
      <c r="Q8">
        <f t="shared" si="4"/>
        <v>-1</v>
      </c>
      <c r="R8">
        <f t="shared" si="5"/>
        <v>-1</v>
      </c>
      <c r="S8">
        <f t="shared" si="6"/>
        <v>-1</v>
      </c>
      <c r="T8">
        <f t="shared" si="7"/>
        <v>-1</v>
      </c>
      <c r="U8">
        <f t="shared" si="8"/>
        <v>1</v>
      </c>
    </row>
    <row r="9" spans="1:21">
      <c r="A9" s="15" t="s">
        <v>86</v>
      </c>
      <c r="B9" s="15" t="s">
        <v>125</v>
      </c>
      <c r="C9" s="15">
        <f>SUMIF('В08 Пристрої'!$E$5:$E$25,A9,'В08 Пристрої'!$C$5:$C$25)</f>
        <v>0</v>
      </c>
      <c r="D9" s="15">
        <v>50</v>
      </c>
      <c r="E9" s="9"/>
      <c r="F9" s="9"/>
      <c r="G9" s="9"/>
      <c r="H9" s="9"/>
      <c r="I9" s="9"/>
      <c r="J9" s="9"/>
      <c r="K9" s="15" t="str">
        <f t="shared" si="0"/>
        <v/>
      </c>
      <c r="L9" s="15"/>
      <c r="N9">
        <f t="shared" si="1"/>
        <v>0</v>
      </c>
      <c r="O9" t="str">
        <f t="shared" si="2"/>
        <v/>
      </c>
      <c r="P9">
        <f t="shared" si="3"/>
        <v>-1</v>
      </c>
      <c r="Q9">
        <f t="shared" si="4"/>
        <v>-1</v>
      </c>
      <c r="R9">
        <f t="shared" si="5"/>
        <v>-1</v>
      </c>
      <c r="S9">
        <f t="shared" si="6"/>
        <v>-1</v>
      </c>
      <c r="T9">
        <f t="shared" si="7"/>
        <v>-1</v>
      </c>
      <c r="U9">
        <f t="shared" si="8"/>
        <v>1</v>
      </c>
    </row>
    <row r="10" spans="1:21">
      <c r="A10" s="15" t="s">
        <v>89</v>
      </c>
      <c r="B10" s="15" t="s">
        <v>129</v>
      </c>
      <c r="C10" s="15">
        <f>SUMIF('В08 Пристрої'!$E$5:$E$25,A10,'В08 Пристрої'!$C$5:$C$25)</f>
        <v>0</v>
      </c>
      <c r="D10" s="15">
        <v>25</v>
      </c>
      <c r="E10" s="9"/>
      <c r="F10" s="9"/>
      <c r="G10" s="9"/>
      <c r="H10" s="9"/>
      <c r="I10" s="9"/>
      <c r="J10" s="9"/>
      <c r="K10" s="15" t="str">
        <f t="shared" si="0"/>
        <v/>
      </c>
      <c r="L10" s="15"/>
      <c r="N10">
        <f t="shared" si="1"/>
        <v>0</v>
      </c>
      <c r="O10" t="str">
        <f t="shared" si="2"/>
        <v/>
      </c>
      <c r="P10">
        <f t="shared" si="3"/>
        <v>-1</v>
      </c>
      <c r="Q10">
        <f t="shared" si="4"/>
        <v>-1</v>
      </c>
      <c r="R10">
        <f t="shared" si="5"/>
        <v>-1</v>
      </c>
      <c r="S10">
        <f t="shared" si="6"/>
        <v>-1</v>
      </c>
      <c r="T10">
        <f t="shared" si="7"/>
        <v>-1</v>
      </c>
      <c r="U10">
        <f t="shared" si="8"/>
        <v>1</v>
      </c>
    </row>
    <row r="11" spans="1:21">
      <c r="A11" s="15" t="s">
        <v>92</v>
      </c>
      <c r="B11" s="15" t="s">
        <v>132</v>
      </c>
      <c r="C11" s="15">
        <f>SUMIF('В08 Пристрої'!$E$5:$E$25,A11,'В08 Пристрої'!$C$5:$C$25)</f>
        <v>0</v>
      </c>
      <c r="D11" s="15">
        <v>20</v>
      </c>
      <c r="E11" s="9"/>
      <c r="F11" s="9"/>
      <c r="G11" s="9"/>
      <c r="H11" s="9"/>
      <c r="I11" s="9"/>
      <c r="J11" s="9"/>
      <c r="K11" s="15" t="str">
        <f t="shared" si="0"/>
        <v/>
      </c>
      <c r="L11" s="15"/>
      <c r="N11">
        <f t="shared" si="1"/>
        <v>0</v>
      </c>
      <c r="O11" t="str">
        <f t="shared" si="2"/>
        <v/>
      </c>
      <c r="P11">
        <f t="shared" si="3"/>
        <v>-1</v>
      </c>
      <c r="Q11">
        <f t="shared" si="4"/>
        <v>-1</v>
      </c>
      <c r="R11">
        <f t="shared" si="5"/>
        <v>-1</v>
      </c>
      <c r="S11">
        <f t="shared" si="6"/>
        <v>-1</v>
      </c>
      <c r="T11">
        <f t="shared" si="7"/>
        <v>-1</v>
      </c>
      <c r="U11">
        <f t="shared" si="8"/>
        <v>1</v>
      </c>
    </row>
    <row r="12" spans="1:21">
      <c r="A12" s="15" t="s">
        <v>146</v>
      </c>
      <c r="B12" s="9"/>
      <c r="C12" s="15">
        <f>SUMIF('В08 Пристрої'!$E$5:$E$25,A12,'В08 Пристрої'!$C$5:$C$25)</f>
        <v>0</v>
      </c>
      <c r="D12" s="9"/>
      <c r="E12" s="9"/>
      <c r="F12" s="9"/>
      <c r="G12" s="9"/>
      <c r="H12" s="9"/>
      <c r="I12" s="9"/>
      <c r="J12" s="9"/>
      <c r="K12" s="15" t="str">
        <f t="shared" si="0"/>
        <v/>
      </c>
      <c r="L12" s="15"/>
      <c r="N12">
        <f t="shared" si="1"/>
        <v>0</v>
      </c>
      <c r="O12" t="str">
        <f t="shared" si="2"/>
        <v/>
      </c>
      <c r="P12">
        <f t="shared" si="3"/>
        <v>-1</v>
      </c>
      <c r="Q12">
        <f t="shared" si="4"/>
        <v>-1</v>
      </c>
      <c r="R12">
        <f t="shared" si="5"/>
        <v>-1</v>
      </c>
      <c r="S12">
        <f t="shared" si="6"/>
        <v>-1</v>
      </c>
      <c r="T12">
        <f t="shared" si="7"/>
        <v>-1</v>
      </c>
      <c r="U12">
        <f t="shared" si="8"/>
        <v>1</v>
      </c>
    </row>
    <row r="13" spans="1:21">
      <c r="A13" s="15" t="s">
        <v>147</v>
      </c>
      <c r="B13" s="9"/>
      <c r="C13" s="15">
        <f>SUMIF('В08 Пристрої'!$E$5:$E$25,A13,'В08 Пристрої'!$C$5:$C$25)</f>
        <v>0</v>
      </c>
      <c r="D13" s="9"/>
      <c r="E13" s="9"/>
      <c r="F13" s="9"/>
      <c r="G13" s="9"/>
      <c r="H13" s="9"/>
      <c r="I13" s="9"/>
      <c r="J13" s="9"/>
      <c r="K13" s="15" t="str">
        <f t="shared" si="0"/>
        <v/>
      </c>
      <c r="L13" s="15"/>
      <c r="N13">
        <f t="shared" si="1"/>
        <v>0</v>
      </c>
      <c r="O13" t="str">
        <f t="shared" si="2"/>
        <v/>
      </c>
      <c r="P13">
        <f t="shared" si="3"/>
        <v>-1</v>
      </c>
      <c r="Q13">
        <f t="shared" si="4"/>
        <v>-1</v>
      </c>
      <c r="R13">
        <f t="shared" si="5"/>
        <v>-1</v>
      </c>
      <c r="S13">
        <f t="shared" si="6"/>
        <v>-1</v>
      </c>
      <c r="T13">
        <f t="shared" si="7"/>
        <v>-1</v>
      </c>
      <c r="U13">
        <f t="shared" si="8"/>
        <v>1</v>
      </c>
    </row>
    <row r="16" spans="1:21">
      <c r="B16" s="12" t="s">
        <v>148</v>
      </c>
    </row>
    <row r="17" spans="2:12">
      <c r="B17" s="6" t="s">
        <v>149</v>
      </c>
      <c r="C17" s="9"/>
    </row>
    <row r="18" spans="2:12">
      <c r="B18" s="6" t="s">
        <v>150</v>
      </c>
      <c r="C18" s="9"/>
    </row>
    <row r="20" spans="2:12" ht="25.5">
      <c r="B20" s="6" t="s">
        <v>151</v>
      </c>
      <c r="C20" s="9"/>
      <c r="L20" s="15" t="str">
        <f>IF(C20="","заповніть native VLAN",IF(NOT(AND(ISNUMBER(C20),C20&gt;=2,C20&lt;=254,C20=INT(C20))),"ціле число від 2 до 254",IF(COUNTIF($F$5:$F$13,C20)&gt;0,"native VLAN не має збігатися з VLAN зони",IF(AND(C17&lt;&gt;"",C18&lt;&gt;"",C20&gt;=C17,C20&lt;=C18),"native VLAN у зарезервованому діапазоні","ОК"))))</f>
        <v>заповніть native VLAN</v>
      </c>
    </row>
  </sheetData>
  <sheetProtection sheet="1" formatCells="0"/>
  <conditionalFormatting sqref="L5:L13">
    <cfRule type="expression" dxfId="21" priority="1">
      <formula>L5="ОК"</formula>
    </cfRule>
    <cfRule type="expression" dxfId="20" priority="2">
      <formula>AND(L5&lt;&gt;"",L5&lt;&gt;"ОК")</formula>
    </cfRule>
  </conditionalFormatting>
  <conditionalFormatting sqref="L20">
    <cfRule type="expression" dxfId="19" priority="3">
      <formula>L20="ОК"</formula>
    </cfRule>
    <cfRule type="expression" dxfId="18" priority="4">
      <formula>L20&lt;&gt;"ОК"</formula>
    </cfRule>
  </conditionalFormatting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3A7D7B"/>
  </sheetPr>
  <dimension ref="A1:B11"/>
  <sheetViews>
    <sheetView workbookViewId="0"/>
  </sheetViews>
  <sheetFormatPr defaultRowHeight="15"/>
  <cols>
    <col min="1" max="1" width="66" customWidth="1"/>
    <col min="2" max="2" width="22" customWidth="1"/>
  </cols>
  <sheetData>
    <row r="1" spans="1:2" ht="19.5">
      <c r="A1" s="3" t="s">
        <v>152</v>
      </c>
    </row>
    <row r="2" spans="1:2">
      <c r="A2" s="4" t="s">
        <v>153</v>
      </c>
    </row>
    <row r="4" spans="1:2">
      <c r="A4" s="15" t="s">
        <v>154</v>
      </c>
      <c r="B4" s="15">
        <f>SUM('В08 Пристрої'!C5:C25)</f>
        <v>138</v>
      </c>
    </row>
    <row r="5" spans="1:2">
      <c r="A5" s="15" t="s">
        <v>155</v>
      </c>
      <c r="B5" s="15">
        <f>COUNTIFS('В08 Пристрої'!C5:C25,"&gt;0",'В08 Пристрої'!E5:E25,"")</f>
        <v>16</v>
      </c>
    </row>
    <row r="6" spans="1:2">
      <c r="A6" s="15" t="s">
        <v>156</v>
      </c>
      <c r="B6" s="15">
        <f>COUNTIF('В08 Пристрої'!F5:F25,"тип*")</f>
        <v>0</v>
      </c>
    </row>
    <row r="7" spans="1:2">
      <c r="A7" s="15" t="s">
        <v>157</v>
      </c>
      <c r="B7" s="15">
        <f>COUNTIFS('В08 Зони й адреси'!L5:L13,"&lt;&gt;ОК",'В08 Зони й адреси'!C5:C13,"&gt;0")</f>
        <v>0</v>
      </c>
    </row>
    <row r="8" spans="1:2">
      <c r="A8" s="15" t="s">
        <v>158</v>
      </c>
      <c r="B8" s="15">
        <f>IF('В08 Зони й адреси'!L20="ОК",0,1)</f>
        <v>1</v>
      </c>
    </row>
    <row r="9" spans="1:2">
      <c r="A9" s="15" t="s">
        <v>159</v>
      </c>
      <c r="B9" s="15">
        <f>MAX(0,COUNTIF('В08 Пристрої'!D5:D25,"потребує рішення")-COUNTA('В08 Обґрунтування'!C5:C12))</f>
        <v>2</v>
      </c>
    </row>
    <row r="10" spans="1:2">
      <c r="A10" s="15" t="s">
        <v>160</v>
      </c>
      <c r="B10" s="15">
        <f>COUNTA('В08 Чернетка колеги'!A15:A17)</f>
        <v>0</v>
      </c>
    </row>
    <row r="11" spans="1:2">
      <c r="A11" s="15" t="s">
        <v>161</v>
      </c>
      <c r="B11" s="15" t="str">
        <f>IF(AND(B5=0,B6=0,B7=0,B8=0,B9=0,B10&gt;=3),"Можна здавати","Є що виправити")</f>
        <v>Є що виправити</v>
      </c>
    </row>
  </sheetData>
  <sheetProtection sheet="1" formatCells="0"/>
  <conditionalFormatting sqref="B11">
    <cfRule type="expression" dxfId="17" priority="1">
      <formula>B11="Можна здавати"</formula>
    </cfRule>
    <cfRule type="expression" dxfId="16" priority="2">
      <formula>B11&lt;&gt;"Можна здавати"</formula>
    </cfRule>
  </conditionalFormatting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3A7D7B"/>
  </sheetPr>
  <dimension ref="A1:C23"/>
  <sheetViews>
    <sheetView workbookViewId="0"/>
  </sheetViews>
  <sheetFormatPr defaultRowHeight="15"/>
  <cols>
    <col min="1" max="1" width="40" customWidth="1"/>
    <col min="2" max="2" width="14" customWidth="1"/>
    <col min="3" max="3" width="100" customWidth="1"/>
  </cols>
  <sheetData>
    <row r="1" spans="1:3" ht="19.5">
      <c r="A1" s="3" t="s">
        <v>162</v>
      </c>
    </row>
    <row r="2" spans="1:3">
      <c r="A2" s="4" t="s">
        <v>163</v>
      </c>
    </row>
    <row r="4" spans="1:3" ht="30" customHeight="1">
      <c r="A4" s="13" t="s">
        <v>164</v>
      </c>
      <c r="B4" s="13" t="s">
        <v>71</v>
      </c>
      <c r="C4" s="13" t="s">
        <v>165</v>
      </c>
    </row>
    <row r="5" spans="1:3" ht="25.5">
      <c r="A5" s="15" t="s">
        <v>197</v>
      </c>
      <c r="B5" s="9"/>
      <c r="C5" s="9"/>
    </row>
    <row r="6" spans="1:3" ht="25.5">
      <c r="A6" s="15" t="s">
        <v>175</v>
      </c>
      <c r="B6" s="9"/>
      <c r="C6" s="9"/>
    </row>
    <row r="7" spans="1:3">
      <c r="A7" s="9"/>
      <c r="B7" s="9"/>
      <c r="C7" s="9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9"/>
      <c r="B12" s="9"/>
      <c r="C12" s="9"/>
    </row>
    <row r="15" spans="1:3">
      <c r="A15" s="26" t="s">
        <v>166</v>
      </c>
      <c r="B15" s="21"/>
      <c r="C15" s="21"/>
    </row>
    <row r="16" spans="1:3" ht="39.950000000000003" customHeight="1">
      <c r="A16" s="19"/>
      <c r="B16" s="27"/>
      <c r="C16" s="28"/>
    </row>
    <row r="17" spans="1:3">
      <c r="A17" s="29"/>
      <c r="B17" s="30"/>
      <c r="C17" s="31"/>
    </row>
    <row r="18" spans="1:3">
      <c r="A18" s="26" t="s">
        <v>167</v>
      </c>
      <c r="B18" s="21"/>
      <c r="C18" s="21"/>
    </row>
    <row r="19" spans="1:3" ht="39.950000000000003" customHeight="1">
      <c r="A19" s="19"/>
      <c r="B19" s="27"/>
      <c r="C19" s="28"/>
    </row>
    <row r="20" spans="1:3">
      <c r="A20" s="29"/>
      <c r="B20" s="30"/>
      <c r="C20" s="31"/>
    </row>
    <row r="21" spans="1:3">
      <c r="A21" s="26" t="s">
        <v>168</v>
      </c>
      <c r="B21" s="21"/>
      <c r="C21" s="21"/>
    </row>
    <row r="22" spans="1:3" ht="39.950000000000003" customHeight="1">
      <c r="A22" s="19"/>
      <c r="B22" s="27"/>
      <c r="C22" s="28"/>
    </row>
    <row r="23" spans="1:3">
      <c r="A23" s="29"/>
      <c r="B23" s="30"/>
      <c r="C23" s="31"/>
    </row>
  </sheetData>
  <sheetProtection sheet="1" formatCells="0"/>
  <mergeCells count="6">
    <mergeCell ref="A15:C15"/>
    <mergeCell ref="A16:C17"/>
    <mergeCell ref="A19:C20"/>
    <mergeCell ref="A18:C18"/>
    <mergeCell ref="A22:C23"/>
    <mergeCell ref="A21:C2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A61C5D"/>
  </sheetPr>
  <dimension ref="A1:B16"/>
  <sheetViews>
    <sheetView workbookViewId="0"/>
  </sheetViews>
  <sheetFormatPr defaultRowHeight="15"/>
  <cols>
    <col min="1" max="1" width="26" customWidth="1"/>
    <col min="2" max="2" width="104" customWidth="1"/>
  </cols>
  <sheetData>
    <row r="1" spans="1:2" ht="19.5">
      <c r="A1" s="3" t="s">
        <v>303</v>
      </c>
    </row>
    <row r="2" spans="1:2">
      <c r="A2" s="4" t="s">
        <v>25</v>
      </c>
    </row>
    <row r="4" spans="1:2">
      <c r="A4" s="5" t="s">
        <v>26</v>
      </c>
      <c r="B4" s="6"/>
    </row>
    <row r="5" spans="1:2" ht="25.5">
      <c r="A5" s="7" t="s">
        <v>27</v>
      </c>
      <c r="B5" s="6" t="s">
        <v>28</v>
      </c>
    </row>
    <row r="6" spans="1:2" ht="25.5">
      <c r="A6" s="7" t="s">
        <v>29</v>
      </c>
      <c r="B6" s="6" t="s">
        <v>30</v>
      </c>
    </row>
    <row r="7" spans="1:2" ht="25.5">
      <c r="A7" s="7" t="s">
        <v>31</v>
      </c>
      <c r="B7" s="6" t="s">
        <v>32</v>
      </c>
    </row>
    <row r="8" spans="1:2">
      <c r="A8" s="7" t="s">
        <v>33</v>
      </c>
      <c r="B8" s="6" t="s">
        <v>34</v>
      </c>
    </row>
    <row r="9" spans="1:2" ht="25.5">
      <c r="A9" s="7" t="s">
        <v>35</v>
      </c>
      <c r="B9" s="6" t="s">
        <v>36</v>
      </c>
    </row>
    <row r="10" spans="1:2">
      <c r="A10" s="7" t="s">
        <v>37</v>
      </c>
      <c r="B10" s="6" t="s">
        <v>38</v>
      </c>
    </row>
    <row r="11" spans="1:2">
      <c r="A11" s="7"/>
      <c r="B11" s="6"/>
    </row>
    <row r="12" spans="1:2">
      <c r="A12" s="7" t="s">
        <v>39</v>
      </c>
      <c r="B12" s="6" t="s">
        <v>40</v>
      </c>
    </row>
    <row r="13" spans="1:2">
      <c r="A13" s="7" t="s">
        <v>41</v>
      </c>
      <c r="B13" s="6" t="s">
        <v>42</v>
      </c>
    </row>
    <row r="14" spans="1:2" ht="25.5">
      <c r="A14" s="7" t="s">
        <v>43</v>
      </c>
      <c r="B14" s="6" t="s">
        <v>44</v>
      </c>
    </row>
    <row r="15" spans="1:2" ht="25.5">
      <c r="A15" s="7" t="s">
        <v>45</v>
      </c>
      <c r="B15" s="6" t="s">
        <v>46</v>
      </c>
    </row>
    <row r="16" spans="1:2">
      <c r="A16" s="7" t="s">
        <v>47</v>
      </c>
      <c r="B16" s="6" t="s">
        <v>48</v>
      </c>
    </row>
  </sheetData>
  <sheetProtection sheet="1" formatCells="0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A61C5D"/>
  </sheetPr>
  <dimension ref="A1:B13"/>
  <sheetViews>
    <sheetView workbookViewId="0"/>
  </sheetViews>
  <sheetFormatPr defaultRowHeight="15"/>
  <cols>
    <col min="1" max="1" width="36" customWidth="1"/>
    <col min="2" max="2" width="70" customWidth="1"/>
  </cols>
  <sheetData>
    <row r="1" spans="1:2" ht="19.5">
      <c r="A1" s="3" t="s">
        <v>304</v>
      </c>
    </row>
    <row r="3" spans="1:2">
      <c r="A3" s="8" t="s">
        <v>50</v>
      </c>
      <c r="B3" s="9"/>
    </row>
    <row r="4" spans="1:2">
      <c r="A4" s="8" t="s">
        <v>51</v>
      </c>
      <c r="B4" s="10" t="s">
        <v>305</v>
      </c>
    </row>
    <row r="5" spans="1:2">
      <c r="A5" s="8" t="s">
        <v>53</v>
      </c>
      <c r="B5" s="10">
        <v>146</v>
      </c>
    </row>
    <row r="6" spans="1:2">
      <c r="A6" s="8" t="s">
        <v>54</v>
      </c>
      <c r="B6" s="10" t="s">
        <v>55</v>
      </c>
    </row>
    <row r="7" spans="1:2" ht="25.5">
      <c r="A7" s="8" t="s">
        <v>56</v>
      </c>
      <c r="B7" s="10" t="s">
        <v>306</v>
      </c>
    </row>
    <row r="8" spans="1:2" ht="25.5">
      <c r="A8" s="8" t="s">
        <v>58</v>
      </c>
      <c r="B8" s="10" t="s">
        <v>307</v>
      </c>
    </row>
    <row r="10" spans="1:2" ht="15.75">
      <c r="A10" s="11" t="s">
        <v>60</v>
      </c>
    </row>
    <row r="11" spans="1:2">
      <c r="A11" s="18" t="s">
        <v>61</v>
      </c>
      <c r="B11" s="21"/>
    </row>
    <row r="12" spans="1:2">
      <c r="A12" s="21"/>
      <c r="B12" s="21"/>
    </row>
    <row r="13" spans="1:2">
      <c r="A13" s="21"/>
      <c r="B13" s="21"/>
    </row>
  </sheetData>
  <sheetProtection sheet="1" formatCells="0"/>
  <mergeCells count="1">
    <mergeCell ref="A11:B1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A61C5D"/>
  </sheetPr>
  <dimension ref="A1:I25"/>
  <sheetViews>
    <sheetView workbookViewId="0"/>
  </sheetViews>
  <sheetFormatPr defaultRowHeight="15"/>
  <cols>
    <col min="1" max="1" width="5" customWidth="1"/>
    <col min="2" max="2" width="56" customWidth="1"/>
    <col min="3" max="3" width="11" customWidth="1"/>
    <col min="4" max="4" width="24" customWidth="1"/>
    <col min="5" max="5" width="16" customWidth="1"/>
    <col min="6" max="6" width="40" customWidth="1"/>
    <col min="7" max="7" width="3" customWidth="1"/>
    <col min="8" max="8" width="24" customWidth="1"/>
    <col min="9" max="9" width="14" customWidth="1"/>
  </cols>
  <sheetData>
    <row r="1" spans="1:9" ht="19.5">
      <c r="A1" s="3" t="s">
        <v>62</v>
      </c>
    </row>
    <row r="2" spans="1:9">
      <c r="A2" s="4" t="s">
        <v>63</v>
      </c>
    </row>
    <row r="3" spans="1:9">
      <c r="H3" s="12" t="s">
        <v>64</v>
      </c>
    </row>
    <row r="4" spans="1:9" ht="39.950000000000003" customHeight="1">
      <c r="A4" s="13" t="s">
        <v>65</v>
      </c>
      <c r="B4" s="13" t="s">
        <v>66</v>
      </c>
      <c r="C4" s="13" t="s">
        <v>67</v>
      </c>
      <c r="D4" s="13" t="s">
        <v>68</v>
      </c>
      <c r="E4" s="13" t="s">
        <v>69</v>
      </c>
      <c r="F4" s="13" t="s">
        <v>70</v>
      </c>
      <c r="H4" s="14" t="s">
        <v>68</v>
      </c>
      <c r="I4" s="14" t="s">
        <v>71</v>
      </c>
    </row>
    <row r="5" spans="1:9">
      <c r="A5" s="15">
        <v>1</v>
      </c>
      <c r="B5" s="15" t="s">
        <v>72</v>
      </c>
      <c r="C5" s="15">
        <v>5</v>
      </c>
      <c r="D5" s="15" t="s">
        <v>73</v>
      </c>
      <c r="E5" s="9"/>
      <c r="F5" s="15" t="str">
        <f t="shared" ref="F5:F25" si="0">IF(C5="","",IF(D5="","вкажіть тип",IF(E5="","призначте зону",IF(D5="потребує рішення","рішення поясніть на аркуші «Обґрунтування»",IF(IFERROR(VLOOKUP(D5,$H$5:$I$11,2,FALSE),"?")=E5,"ОК","тип пристрою не відповідає зоні")))))</f>
        <v>призначте зону</v>
      </c>
      <c r="H5" s="15" t="s">
        <v>73</v>
      </c>
      <c r="I5" s="15" t="s">
        <v>74</v>
      </c>
    </row>
    <row r="6" spans="1:9">
      <c r="A6" s="15">
        <v>2</v>
      </c>
      <c r="B6" s="15" t="s">
        <v>75</v>
      </c>
      <c r="C6" s="15">
        <v>1</v>
      </c>
      <c r="D6" s="15" t="s">
        <v>73</v>
      </c>
      <c r="E6" s="9"/>
      <c r="F6" s="15" t="str">
        <f t="shared" si="0"/>
        <v>призначте зону</v>
      </c>
      <c r="H6" s="15" t="s">
        <v>76</v>
      </c>
      <c r="I6" s="15" t="s">
        <v>77</v>
      </c>
    </row>
    <row r="7" spans="1:9">
      <c r="A7" s="15">
        <v>3</v>
      </c>
      <c r="B7" s="15" t="s">
        <v>78</v>
      </c>
      <c r="C7" s="15">
        <v>4</v>
      </c>
      <c r="D7" s="15" t="s">
        <v>76</v>
      </c>
      <c r="E7" s="9"/>
      <c r="F7" s="15" t="str">
        <f t="shared" si="0"/>
        <v>призначте зону</v>
      </c>
      <c r="H7" s="15" t="s">
        <v>79</v>
      </c>
      <c r="I7" s="15" t="s">
        <v>80</v>
      </c>
    </row>
    <row r="8" spans="1:9">
      <c r="A8" s="15">
        <v>4</v>
      </c>
      <c r="B8" s="15" t="s">
        <v>81</v>
      </c>
      <c r="C8" s="15">
        <v>4</v>
      </c>
      <c r="D8" s="15" t="s">
        <v>79</v>
      </c>
      <c r="E8" s="9"/>
      <c r="F8" s="15" t="str">
        <f t="shared" si="0"/>
        <v>призначте зону</v>
      </c>
      <c r="H8" s="15" t="s">
        <v>82</v>
      </c>
      <c r="I8" s="15" t="s">
        <v>83</v>
      </c>
    </row>
    <row r="9" spans="1:9">
      <c r="A9" s="15">
        <v>5</v>
      </c>
      <c r="B9" s="15" t="s">
        <v>84</v>
      </c>
      <c r="C9" s="15">
        <v>2</v>
      </c>
      <c r="D9" s="15" t="s">
        <v>82</v>
      </c>
      <c r="E9" s="9"/>
      <c r="F9" s="15" t="str">
        <f t="shared" si="0"/>
        <v>призначте зону</v>
      </c>
      <c r="H9" s="15" t="s">
        <v>85</v>
      </c>
      <c r="I9" s="15" t="s">
        <v>86</v>
      </c>
    </row>
    <row r="10" spans="1:9">
      <c r="A10" s="15">
        <v>6</v>
      </c>
      <c r="B10" s="15" t="s">
        <v>87</v>
      </c>
      <c r="C10" s="15">
        <v>5</v>
      </c>
      <c r="D10" s="15" t="s">
        <v>82</v>
      </c>
      <c r="E10" s="9"/>
      <c r="F10" s="15" t="str">
        <f t="shared" si="0"/>
        <v>призначте зону</v>
      </c>
      <c r="H10" s="15" t="s">
        <v>88</v>
      </c>
      <c r="I10" s="15" t="s">
        <v>89</v>
      </c>
    </row>
    <row r="11" spans="1:9">
      <c r="A11" s="15">
        <v>7</v>
      </c>
      <c r="B11" s="15" t="s">
        <v>90</v>
      </c>
      <c r="C11" s="15">
        <v>5</v>
      </c>
      <c r="D11" s="15" t="s">
        <v>85</v>
      </c>
      <c r="E11" s="9"/>
      <c r="F11" s="15" t="str">
        <f t="shared" si="0"/>
        <v>призначте зону</v>
      </c>
      <c r="H11" s="15" t="s">
        <v>91</v>
      </c>
      <c r="I11" s="15" t="s">
        <v>92</v>
      </c>
    </row>
    <row r="12" spans="1:9">
      <c r="A12" s="15">
        <v>8</v>
      </c>
      <c r="B12" s="15" t="s">
        <v>93</v>
      </c>
      <c r="C12" s="15">
        <v>3</v>
      </c>
      <c r="D12" s="15" t="s">
        <v>85</v>
      </c>
      <c r="E12" s="9"/>
      <c r="F12" s="15" t="str">
        <f t="shared" si="0"/>
        <v>призначте зону</v>
      </c>
      <c r="H12" s="16" t="s">
        <v>94</v>
      </c>
    </row>
    <row r="13" spans="1:9">
      <c r="A13" s="15">
        <v>9</v>
      </c>
      <c r="B13" s="15" t="s">
        <v>95</v>
      </c>
      <c r="C13" s="15">
        <v>3</v>
      </c>
      <c r="D13" s="15" t="s">
        <v>85</v>
      </c>
      <c r="E13" s="9"/>
      <c r="F13" s="15" t="str">
        <f t="shared" si="0"/>
        <v>призначте зону</v>
      </c>
    </row>
    <row r="14" spans="1:9">
      <c r="A14" s="15">
        <v>10</v>
      </c>
      <c r="B14" s="15" t="s">
        <v>96</v>
      </c>
      <c r="C14" s="15">
        <v>35</v>
      </c>
      <c r="D14" s="15" t="s">
        <v>88</v>
      </c>
      <c r="E14" s="9"/>
      <c r="F14" s="15" t="str">
        <f t="shared" si="0"/>
        <v>призначте зону</v>
      </c>
    </row>
    <row r="15" spans="1:9">
      <c r="A15" s="15">
        <v>11</v>
      </c>
      <c r="B15" s="15" t="s">
        <v>97</v>
      </c>
      <c r="C15" s="15">
        <v>2</v>
      </c>
      <c r="D15" s="15" t="s">
        <v>91</v>
      </c>
      <c r="E15" s="9"/>
      <c r="F15" s="15" t="str">
        <f t="shared" si="0"/>
        <v>призначте зону</v>
      </c>
    </row>
    <row r="16" spans="1:9">
      <c r="A16" s="15">
        <v>12</v>
      </c>
      <c r="B16" s="15" t="s">
        <v>98</v>
      </c>
      <c r="C16" s="15">
        <v>1</v>
      </c>
      <c r="D16" s="15" t="s">
        <v>91</v>
      </c>
      <c r="E16" s="9"/>
      <c r="F16" s="15" t="str">
        <f t="shared" si="0"/>
        <v>призначте зону</v>
      </c>
    </row>
    <row r="17" spans="1:6">
      <c r="A17" s="15">
        <v>13</v>
      </c>
      <c r="B17" s="15" t="s">
        <v>99</v>
      </c>
      <c r="C17" s="15">
        <v>2</v>
      </c>
      <c r="D17" s="15" t="s">
        <v>91</v>
      </c>
      <c r="E17" s="9"/>
      <c r="F17" s="15" t="str">
        <f t="shared" si="0"/>
        <v>призначте зону</v>
      </c>
    </row>
    <row r="18" spans="1:6">
      <c r="A18" s="15">
        <v>14</v>
      </c>
      <c r="B18" s="15" t="s">
        <v>100</v>
      </c>
      <c r="C18" s="15">
        <v>1</v>
      </c>
      <c r="D18" s="15" t="s">
        <v>91</v>
      </c>
      <c r="E18" s="9"/>
      <c r="F18" s="15" t="str">
        <f t="shared" si="0"/>
        <v>призначте зону</v>
      </c>
    </row>
    <row r="19" spans="1:6">
      <c r="A19" s="15">
        <v>15</v>
      </c>
      <c r="B19" s="15" t="s">
        <v>216</v>
      </c>
      <c r="C19" s="15">
        <v>2</v>
      </c>
      <c r="D19" s="15" t="s">
        <v>102</v>
      </c>
      <c r="E19" s="9"/>
      <c r="F19" s="15" t="str">
        <f t="shared" si="0"/>
        <v>призначте зону</v>
      </c>
    </row>
    <row r="20" spans="1:6">
      <c r="A20" s="15">
        <v>16</v>
      </c>
      <c r="B20" s="15" t="s">
        <v>215</v>
      </c>
      <c r="C20" s="15">
        <v>3</v>
      </c>
      <c r="D20" s="15" t="s">
        <v>102</v>
      </c>
      <c r="E20" s="9"/>
      <c r="F20" s="15" t="str">
        <f t="shared" si="0"/>
        <v>призначте зону</v>
      </c>
    </row>
    <row r="21" spans="1:6">
      <c r="A21" s="17">
        <v>17</v>
      </c>
      <c r="B21" s="9"/>
      <c r="C21" s="9"/>
      <c r="D21" s="9"/>
      <c r="E21" s="9"/>
      <c r="F21" s="15" t="str">
        <f t="shared" si="0"/>
        <v/>
      </c>
    </row>
    <row r="22" spans="1:6">
      <c r="A22" s="17">
        <v>18</v>
      </c>
      <c r="B22" s="9"/>
      <c r="C22" s="9"/>
      <c r="D22" s="9"/>
      <c r="E22" s="9"/>
      <c r="F22" s="15" t="str">
        <f t="shared" si="0"/>
        <v/>
      </c>
    </row>
    <row r="23" spans="1:6">
      <c r="A23" s="17">
        <v>19</v>
      </c>
      <c r="B23" s="9"/>
      <c r="C23" s="9"/>
      <c r="D23" s="9"/>
      <c r="E23" s="9"/>
      <c r="F23" s="15" t="str">
        <f t="shared" si="0"/>
        <v/>
      </c>
    </row>
    <row r="24" spans="1:6">
      <c r="A24" s="17">
        <v>20</v>
      </c>
      <c r="B24" s="9"/>
      <c r="C24" s="9"/>
      <c r="D24" s="9"/>
      <c r="E24" s="9"/>
      <c r="F24" s="15" t="str">
        <f t="shared" si="0"/>
        <v/>
      </c>
    </row>
    <row r="25" spans="1:6">
      <c r="A25" s="17">
        <v>21</v>
      </c>
      <c r="B25" s="9"/>
      <c r="C25" s="9"/>
      <c r="D25" s="9"/>
      <c r="E25" s="9"/>
      <c r="F25" s="15" t="str">
        <f t="shared" si="0"/>
        <v/>
      </c>
    </row>
  </sheetData>
  <sheetProtection sheet="1" formatCells="0"/>
  <conditionalFormatting sqref="F5:F25">
    <cfRule type="expression" dxfId="15" priority="1">
      <formula>F5="ОК"</formula>
    </cfRule>
    <cfRule type="expression" dxfId="14" priority="2">
      <formula>OR(LEFT(F5,3)="тип",F5="призначте зону",F5="вкажіть тип")</formula>
    </cfRule>
  </conditionalFormatting>
  <dataValidations count="2">
    <dataValidation type="list" allowBlank="1" sqref="E5:E25" xr:uid="{00000000-0002-0000-3B00-000000000000}">
      <formula1>"KASA,MANAGERS,ABS,ATM_POS,IOT,GUEST,MGMT,NEW1,NEW2"</formula1>
    </dataValidation>
    <dataValidation type="list" allowBlank="1" sqref="D21:D25" xr:uid="{00000000-0002-0000-3B00-000001000000}">
      <formula1>"каса,менеджер,АБС,платіжний пристрій,без користувача,клієнтські пристрої,мережеве обладнання,потребує рішення"</formula1>
    </dataValidation>
  </dataValidation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A61C5D"/>
  </sheetPr>
  <dimension ref="A1:G17"/>
  <sheetViews>
    <sheetView workbookViewId="0"/>
  </sheetViews>
  <sheetFormatPr defaultRowHeight="15"/>
  <cols>
    <col min="1" max="1" width="6" customWidth="1"/>
    <col min="2" max="2" width="26" customWidth="1"/>
    <col min="3" max="3" width="14" customWidth="1"/>
    <col min="4" max="4" width="9" customWidth="1"/>
    <col min="5" max="5" width="20" customWidth="1"/>
    <col min="6" max="6" width="10" customWidth="1"/>
    <col min="7" max="7" width="20" customWidth="1"/>
  </cols>
  <sheetData>
    <row r="1" spans="1:7" ht="19.5">
      <c r="A1" s="3" t="s">
        <v>104</v>
      </c>
    </row>
    <row r="2" spans="1:7">
      <c r="A2" s="4" t="s">
        <v>105</v>
      </c>
    </row>
    <row r="4" spans="1:7" ht="39.950000000000003" customHeight="1">
      <c r="A4" s="13" t="s">
        <v>65</v>
      </c>
      <c r="B4" s="13" t="s">
        <v>71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47</v>
      </c>
    </row>
    <row r="5" spans="1:7">
      <c r="A5" s="15">
        <v>1</v>
      </c>
      <c r="B5" s="15" t="s">
        <v>110</v>
      </c>
      <c r="C5" s="15">
        <v>9</v>
      </c>
      <c r="D5" s="15">
        <v>60</v>
      </c>
      <c r="E5" s="15" t="s">
        <v>308</v>
      </c>
      <c r="F5" s="15" t="s">
        <v>120</v>
      </c>
      <c r="G5" s="15" t="s">
        <v>309</v>
      </c>
    </row>
    <row r="6" spans="1:7">
      <c r="A6" s="15">
        <v>2</v>
      </c>
      <c r="B6" s="15" t="s">
        <v>114</v>
      </c>
      <c r="C6" s="15">
        <v>10</v>
      </c>
      <c r="D6" s="15">
        <v>70</v>
      </c>
      <c r="E6" s="15" t="s">
        <v>310</v>
      </c>
      <c r="F6" s="15" t="s">
        <v>112</v>
      </c>
      <c r="G6" s="15" t="s">
        <v>311</v>
      </c>
    </row>
    <row r="7" spans="1:7">
      <c r="A7" s="15">
        <v>3</v>
      </c>
      <c r="B7" s="15" t="s">
        <v>118</v>
      </c>
      <c r="C7" s="15">
        <v>7</v>
      </c>
      <c r="D7" s="15">
        <v>80</v>
      </c>
      <c r="E7" s="15" t="s">
        <v>312</v>
      </c>
      <c r="F7" s="15" t="s">
        <v>112</v>
      </c>
      <c r="G7" s="15" t="s">
        <v>313</v>
      </c>
    </row>
    <row r="8" spans="1:7">
      <c r="A8" s="15">
        <v>4</v>
      </c>
      <c r="B8" s="15" t="s">
        <v>122</v>
      </c>
      <c r="C8" s="15">
        <v>12</v>
      </c>
      <c r="D8" s="15">
        <v>90</v>
      </c>
      <c r="E8" s="15" t="s">
        <v>314</v>
      </c>
      <c r="F8" s="15" t="s">
        <v>112</v>
      </c>
      <c r="G8" s="15" t="s">
        <v>315</v>
      </c>
    </row>
    <row r="9" spans="1:7">
      <c r="A9" s="15">
        <v>5</v>
      </c>
      <c r="B9" s="15" t="s">
        <v>125</v>
      </c>
      <c r="C9" s="15">
        <v>18</v>
      </c>
      <c r="D9" s="15">
        <v>100</v>
      </c>
      <c r="E9" s="15" t="s">
        <v>316</v>
      </c>
      <c r="F9" s="15" t="s">
        <v>184</v>
      </c>
      <c r="G9" s="15" t="s">
        <v>317</v>
      </c>
    </row>
    <row r="10" spans="1:7">
      <c r="A10" s="15">
        <v>6</v>
      </c>
      <c r="B10" s="15" t="s">
        <v>129</v>
      </c>
      <c r="C10" s="15">
        <v>71</v>
      </c>
      <c r="D10" s="15">
        <v>70</v>
      </c>
      <c r="E10" s="15" t="s">
        <v>310</v>
      </c>
      <c r="F10" s="15" t="s">
        <v>187</v>
      </c>
      <c r="G10" s="15" t="s">
        <v>311</v>
      </c>
    </row>
    <row r="11" spans="1:7">
      <c r="A11" s="15">
        <v>7</v>
      </c>
      <c r="B11" s="15" t="s">
        <v>132</v>
      </c>
      <c r="C11" s="15">
        <v>13</v>
      </c>
      <c r="D11" s="15">
        <v>120</v>
      </c>
      <c r="E11" s="15" t="s">
        <v>318</v>
      </c>
      <c r="F11" s="15" t="s">
        <v>112</v>
      </c>
      <c r="G11" s="15" t="s">
        <v>319</v>
      </c>
    </row>
    <row r="13" spans="1:7" ht="15.75">
      <c r="A13" s="11" t="s">
        <v>133</v>
      </c>
    </row>
    <row r="14" spans="1:7" ht="27.95" customHeight="1">
      <c r="A14" s="13" t="s">
        <v>134</v>
      </c>
      <c r="B14" s="13" t="s">
        <v>135</v>
      </c>
      <c r="C14" s="20" t="s">
        <v>136</v>
      </c>
      <c r="D14" s="22"/>
      <c r="E14" s="22"/>
      <c r="F14" s="22"/>
      <c r="G14" s="23"/>
    </row>
    <row r="15" spans="1:7">
      <c r="A15" s="9"/>
      <c r="B15" s="9"/>
      <c r="C15" s="19"/>
      <c r="D15" s="24"/>
      <c r="E15" s="24"/>
      <c r="F15" s="24"/>
      <c r="G15" s="25"/>
    </row>
    <row r="16" spans="1:7">
      <c r="A16" s="9"/>
      <c r="B16" s="9"/>
      <c r="C16" s="19"/>
      <c r="D16" s="24"/>
      <c r="E16" s="24"/>
      <c r="F16" s="24"/>
      <c r="G16" s="25"/>
    </row>
    <row r="17" spans="1:7">
      <c r="A17" s="9"/>
      <c r="B17" s="9"/>
      <c r="C17" s="19"/>
      <c r="D17" s="24"/>
      <c r="E17" s="24"/>
      <c r="F17" s="24"/>
      <c r="G17" s="25"/>
    </row>
  </sheetData>
  <sheetProtection sheet="1" formatCells="0"/>
  <mergeCells count="4">
    <mergeCell ref="C16:G16"/>
    <mergeCell ref="C15:G15"/>
    <mergeCell ref="C17:G17"/>
    <mergeCell ref="C14:G14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A61C5D"/>
  </sheetPr>
  <dimension ref="A1:U20"/>
  <sheetViews>
    <sheetView workbookViewId="0"/>
  </sheetViews>
  <sheetFormatPr defaultRowHeight="15"/>
  <cols>
    <col min="1" max="1" width="11" customWidth="1"/>
    <col min="2" max="2" width="22" customWidth="1"/>
    <col min="3" max="3" width="10" customWidth="1"/>
    <col min="4" max="4" width="11" customWidth="1"/>
    <col min="5" max="5" width="13" customWidth="1"/>
    <col min="6" max="6" width="8" customWidth="1"/>
    <col min="7" max="8" width="16" customWidth="1"/>
    <col min="9" max="9" width="9" customWidth="1"/>
    <col min="10" max="10" width="16" customWidth="1"/>
    <col min="11" max="11" width="10" customWidth="1"/>
    <col min="12" max="12" width="56" customWidth="1"/>
    <col min="14" max="21" width="13" hidden="1" customWidth="1"/>
  </cols>
  <sheetData>
    <row r="1" spans="1:21" ht="19.5">
      <c r="A1" s="3" t="s">
        <v>137</v>
      </c>
    </row>
    <row r="2" spans="1:21">
      <c r="A2" s="4" t="s">
        <v>138</v>
      </c>
    </row>
    <row r="4" spans="1:21" ht="54" customHeight="1">
      <c r="A4" s="13" t="s">
        <v>139</v>
      </c>
      <c r="B4" s="13" t="s">
        <v>140</v>
      </c>
      <c r="C4" s="13" t="s">
        <v>141</v>
      </c>
      <c r="D4" s="13" t="s">
        <v>58</v>
      </c>
      <c r="E4" s="13" t="s">
        <v>142</v>
      </c>
      <c r="F4" s="13" t="s">
        <v>107</v>
      </c>
      <c r="G4" s="13" t="s">
        <v>143</v>
      </c>
      <c r="H4" s="13" t="s">
        <v>108</v>
      </c>
      <c r="I4" s="13" t="s">
        <v>144</v>
      </c>
      <c r="J4" s="13" t="s">
        <v>47</v>
      </c>
      <c r="K4" s="13" t="s">
        <v>145</v>
      </c>
      <c r="L4" s="13" t="s">
        <v>70</v>
      </c>
    </row>
    <row r="5" spans="1:21">
      <c r="A5" s="15" t="s">
        <v>74</v>
      </c>
      <c r="B5" s="15" t="s">
        <v>110</v>
      </c>
      <c r="C5" s="15">
        <f>SUMIF('В09 Пристрої'!$E$5:$E$25,A5,'В09 Пристрої'!$C$5:$C$25)</f>
        <v>0</v>
      </c>
      <c r="D5" s="15">
        <v>20</v>
      </c>
      <c r="E5" s="9"/>
      <c r="F5" s="9"/>
      <c r="G5" s="9"/>
      <c r="H5" s="9"/>
      <c r="I5" s="9"/>
      <c r="J5" s="9"/>
      <c r="K5" s="15" t="str">
        <f t="shared" ref="K5:K13" si="0">IF(OR(I5="",NOT(ISNUMBER(I5))),"",2^(32-I5)-2)</f>
        <v/>
      </c>
      <c r="L5" s="15"/>
      <c r="N5">
        <f t="shared" ref="N5:N13" si="1">IF(C5=0,0,ROUNDUP(ROUND(C5*(1+D5/100),6),0)+1)</f>
        <v>0</v>
      </c>
      <c r="O5" t="str">
        <f t="shared" ref="O5:O13" si="2">IF(N5=0,"",32-MAX(2,ROUNDUP(LOG(N5+2,2)-0.000001,0)))</f>
        <v/>
      </c>
      <c r="P5">
        <f t="shared" ref="P5:P13" si="3">IFERROR(VALUE(LEFT(H5,FIND(".",H5)-1)),-1)</f>
        <v>-1</v>
      </c>
      <c r="Q5">
        <f t="shared" ref="Q5:Q13" si="4">IFERROR(VALUE(MID(H5,FIND(".",H5)+1,FIND("#",SUBSTITUTE(H5,".","#",2))-FIND(".",H5)-1)),-1)</f>
        <v>-1</v>
      </c>
      <c r="R5">
        <f t="shared" ref="R5:R13" si="5">IFERROR(VALUE(MID(H5,FIND("#",SUBSTITUTE(H5,".","#",2))+1,FIND("#",SUBSTITUTE(H5,".","#",3))-FIND("#",SUBSTITUTE(H5,".","#",2))-1)),-1)</f>
        <v>-1</v>
      </c>
      <c r="S5">
        <f t="shared" ref="S5:S13" si="6">IFERROR(VALUE(MID(H5,FIND("#",SUBSTITUTE(H5,".","#",3))+1,3)),-1)</f>
        <v>-1</v>
      </c>
      <c r="T5">
        <f t="shared" ref="T5:T13" si="7">IFERROR(VALUE(MID(J5,FIND("#",SUBSTITUTE(J5,".","#",3))+1,3)),-1)</f>
        <v>-1</v>
      </c>
      <c r="U5">
        <f t="shared" ref="U5:U13" si="8">IF(IFERROR(LEFT(H5,FIND("#",SUBSTITUTE(H5,".","#",3))),"")=IFERROR(LEFT(J5,FIND("#",SUBSTITUTE(J5,".","#",3))),""),1,0)</f>
        <v>1</v>
      </c>
    </row>
    <row r="6" spans="1:21">
      <c r="A6" s="15" t="s">
        <v>77</v>
      </c>
      <c r="B6" s="15" t="s">
        <v>114</v>
      </c>
      <c r="C6" s="15">
        <f>SUMIF('В09 Пристрої'!$E$5:$E$25,A6,'В09 Пристрої'!$C$5:$C$25)</f>
        <v>0</v>
      </c>
      <c r="D6" s="15">
        <v>25</v>
      </c>
      <c r="E6" s="9"/>
      <c r="F6" s="9"/>
      <c r="G6" s="9"/>
      <c r="H6" s="9"/>
      <c r="I6" s="9"/>
      <c r="J6" s="9"/>
      <c r="K6" s="15" t="str">
        <f t="shared" si="0"/>
        <v/>
      </c>
      <c r="L6" s="15"/>
      <c r="N6">
        <f t="shared" si="1"/>
        <v>0</v>
      </c>
      <c r="O6" t="str">
        <f t="shared" si="2"/>
        <v/>
      </c>
      <c r="P6">
        <f t="shared" si="3"/>
        <v>-1</v>
      </c>
      <c r="Q6">
        <f t="shared" si="4"/>
        <v>-1</v>
      </c>
      <c r="R6">
        <f t="shared" si="5"/>
        <v>-1</v>
      </c>
      <c r="S6">
        <f t="shared" si="6"/>
        <v>-1</v>
      </c>
      <c r="T6">
        <f t="shared" si="7"/>
        <v>-1</v>
      </c>
      <c r="U6">
        <f t="shared" si="8"/>
        <v>1</v>
      </c>
    </row>
    <row r="7" spans="1:21">
      <c r="A7" s="15" t="s">
        <v>80</v>
      </c>
      <c r="B7" s="15" t="s">
        <v>118</v>
      </c>
      <c r="C7" s="15">
        <f>SUMIF('В09 Пристрої'!$E$5:$E$25,A7,'В09 Пристрої'!$C$5:$C$25)</f>
        <v>0</v>
      </c>
      <c r="D7" s="15">
        <v>50</v>
      </c>
      <c r="E7" s="9"/>
      <c r="F7" s="9"/>
      <c r="G7" s="9"/>
      <c r="H7" s="9"/>
      <c r="I7" s="9"/>
      <c r="J7" s="9"/>
      <c r="K7" s="15" t="str">
        <f t="shared" si="0"/>
        <v/>
      </c>
      <c r="L7" s="15"/>
      <c r="N7">
        <f t="shared" si="1"/>
        <v>0</v>
      </c>
      <c r="O7" t="str">
        <f t="shared" si="2"/>
        <v/>
      </c>
      <c r="P7">
        <f t="shared" si="3"/>
        <v>-1</v>
      </c>
      <c r="Q7">
        <f t="shared" si="4"/>
        <v>-1</v>
      </c>
      <c r="R7">
        <f t="shared" si="5"/>
        <v>-1</v>
      </c>
      <c r="S7">
        <f t="shared" si="6"/>
        <v>-1</v>
      </c>
      <c r="T7">
        <f t="shared" si="7"/>
        <v>-1</v>
      </c>
      <c r="U7">
        <f t="shared" si="8"/>
        <v>1</v>
      </c>
    </row>
    <row r="8" spans="1:21">
      <c r="A8" s="15" t="s">
        <v>83</v>
      </c>
      <c r="B8" s="15" t="s">
        <v>122</v>
      </c>
      <c r="C8" s="15">
        <f>SUMIF('В09 Пристрої'!$E$5:$E$25,A8,'В09 Пристрої'!$C$5:$C$25)</f>
        <v>0</v>
      </c>
      <c r="D8" s="15">
        <v>50</v>
      </c>
      <c r="E8" s="9"/>
      <c r="F8" s="9"/>
      <c r="G8" s="9"/>
      <c r="H8" s="9"/>
      <c r="I8" s="9"/>
      <c r="J8" s="9"/>
      <c r="K8" s="15" t="str">
        <f t="shared" si="0"/>
        <v/>
      </c>
      <c r="L8" s="15"/>
      <c r="N8">
        <f t="shared" si="1"/>
        <v>0</v>
      </c>
      <c r="O8" t="str">
        <f t="shared" si="2"/>
        <v/>
      </c>
      <c r="P8">
        <f t="shared" si="3"/>
        <v>-1</v>
      </c>
      <c r="Q8">
        <f t="shared" si="4"/>
        <v>-1</v>
      </c>
      <c r="R8">
        <f t="shared" si="5"/>
        <v>-1</v>
      </c>
      <c r="S8">
        <f t="shared" si="6"/>
        <v>-1</v>
      </c>
      <c r="T8">
        <f t="shared" si="7"/>
        <v>-1</v>
      </c>
      <c r="U8">
        <f t="shared" si="8"/>
        <v>1</v>
      </c>
    </row>
    <row r="9" spans="1:21">
      <c r="A9" s="15" t="s">
        <v>86</v>
      </c>
      <c r="B9" s="15" t="s">
        <v>125</v>
      </c>
      <c r="C9" s="15">
        <f>SUMIF('В09 Пристрої'!$E$5:$E$25,A9,'В09 Пристрої'!$C$5:$C$25)</f>
        <v>0</v>
      </c>
      <c r="D9" s="15">
        <v>50</v>
      </c>
      <c r="E9" s="9"/>
      <c r="F9" s="9"/>
      <c r="G9" s="9"/>
      <c r="H9" s="9"/>
      <c r="I9" s="9"/>
      <c r="J9" s="9"/>
      <c r="K9" s="15" t="str">
        <f t="shared" si="0"/>
        <v/>
      </c>
      <c r="L9" s="15"/>
      <c r="N9">
        <f t="shared" si="1"/>
        <v>0</v>
      </c>
      <c r="O9" t="str">
        <f t="shared" si="2"/>
        <v/>
      </c>
      <c r="P9">
        <f t="shared" si="3"/>
        <v>-1</v>
      </c>
      <c r="Q9">
        <f t="shared" si="4"/>
        <v>-1</v>
      </c>
      <c r="R9">
        <f t="shared" si="5"/>
        <v>-1</v>
      </c>
      <c r="S9">
        <f t="shared" si="6"/>
        <v>-1</v>
      </c>
      <c r="T9">
        <f t="shared" si="7"/>
        <v>-1</v>
      </c>
      <c r="U9">
        <f t="shared" si="8"/>
        <v>1</v>
      </c>
    </row>
    <row r="10" spans="1:21">
      <c r="A10" s="15" t="s">
        <v>89</v>
      </c>
      <c r="B10" s="15" t="s">
        <v>129</v>
      </c>
      <c r="C10" s="15">
        <f>SUMIF('В09 Пристрої'!$E$5:$E$25,A10,'В09 Пристрої'!$C$5:$C$25)</f>
        <v>0</v>
      </c>
      <c r="D10" s="15">
        <v>100</v>
      </c>
      <c r="E10" s="9"/>
      <c r="F10" s="9"/>
      <c r="G10" s="9"/>
      <c r="H10" s="9"/>
      <c r="I10" s="9"/>
      <c r="J10" s="9"/>
      <c r="K10" s="15" t="str">
        <f t="shared" si="0"/>
        <v/>
      </c>
      <c r="L10" s="15"/>
      <c r="N10">
        <f t="shared" si="1"/>
        <v>0</v>
      </c>
      <c r="O10" t="str">
        <f t="shared" si="2"/>
        <v/>
      </c>
      <c r="P10">
        <f t="shared" si="3"/>
        <v>-1</v>
      </c>
      <c r="Q10">
        <f t="shared" si="4"/>
        <v>-1</v>
      </c>
      <c r="R10">
        <f t="shared" si="5"/>
        <v>-1</v>
      </c>
      <c r="S10">
        <f t="shared" si="6"/>
        <v>-1</v>
      </c>
      <c r="T10">
        <f t="shared" si="7"/>
        <v>-1</v>
      </c>
      <c r="U10">
        <f t="shared" si="8"/>
        <v>1</v>
      </c>
    </row>
    <row r="11" spans="1:21">
      <c r="A11" s="15" t="s">
        <v>92</v>
      </c>
      <c r="B11" s="15" t="s">
        <v>132</v>
      </c>
      <c r="C11" s="15">
        <f>SUMIF('В09 Пристрої'!$E$5:$E$25,A11,'В09 Пристрої'!$C$5:$C$25)</f>
        <v>0</v>
      </c>
      <c r="D11" s="15">
        <v>40</v>
      </c>
      <c r="E11" s="9"/>
      <c r="F11" s="9"/>
      <c r="G11" s="9"/>
      <c r="H11" s="9"/>
      <c r="I11" s="9"/>
      <c r="J11" s="9"/>
      <c r="K11" s="15" t="str">
        <f t="shared" si="0"/>
        <v/>
      </c>
      <c r="L11" s="15"/>
      <c r="N11">
        <f t="shared" si="1"/>
        <v>0</v>
      </c>
      <c r="O11" t="str">
        <f t="shared" si="2"/>
        <v/>
      </c>
      <c r="P11">
        <f t="shared" si="3"/>
        <v>-1</v>
      </c>
      <c r="Q11">
        <f t="shared" si="4"/>
        <v>-1</v>
      </c>
      <c r="R11">
        <f t="shared" si="5"/>
        <v>-1</v>
      </c>
      <c r="S11">
        <f t="shared" si="6"/>
        <v>-1</v>
      </c>
      <c r="T11">
        <f t="shared" si="7"/>
        <v>-1</v>
      </c>
      <c r="U11">
        <f t="shared" si="8"/>
        <v>1</v>
      </c>
    </row>
    <row r="12" spans="1:21">
      <c r="A12" s="15" t="s">
        <v>146</v>
      </c>
      <c r="B12" s="9"/>
      <c r="C12" s="15">
        <f>SUMIF('В09 Пристрої'!$E$5:$E$25,A12,'В09 Пристрої'!$C$5:$C$25)</f>
        <v>0</v>
      </c>
      <c r="D12" s="9"/>
      <c r="E12" s="9"/>
      <c r="F12" s="9"/>
      <c r="G12" s="9"/>
      <c r="H12" s="9"/>
      <c r="I12" s="9"/>
      <c r="J12" s="9"/>
      <c r="K12" s="15" t="str">
        <f t="shared" si="0"/>
        <v/>
      </c>
      <c r="L12" s="15"/>
      <c r="N12">
        <f t="shared" si="1"/>
        <v>0</v>
      </c>
      <c r="O12" t="str">
        <f t="shared" si="2"/>
        <v/>
      </c>
      <c r="P12">
        <f t="shared" si="3"/>
        <v>-1</v>
      </c>
      <c r="Q12">
        <f t="shared" si="4"/>
        <v>-1</v>
      </c>
      <c r="R12">
        <f t="shared" si="5"/>
        <v>-1</v>
      </c>
      <c r="S12">
        <f t="shared" si="6"/>
        <v>-1</v>
      </c>
      <c r="T12">
        <f t="shared" si="7"/>
        <v>-1</v>
      </c>
      <c r="U12">
        <f t="shared" si="8"/>
        <v>1</v>
      </c>
    </row>
    <row r="13" spans="1:21">
      <c r="A13" s="15" t="s">
        <v>147</v>
      </c>
      <c r="B13" s="9"/>
      <c r="C13" s="15">
        <f>SUMIF('В09 Пристрої'!$E$5:$E$25,A13,'В09 Пристрої'!$C$5:$C$25)</f>
        <v>0</v>
      </c>
      <c r="D13" s="9"/>
      <c r="E13" s="9"/>
      <c r="F13" s="9"/>
      <c r="G13" s="9"/>
      <c r="H13" s="9"/>
      <c r="I13" s="9"/>
      <c r="J13" s="9"/>
      <c r="K13" s="15" t="str">
        <f t="shared" si="0"/>
        <v/>
      </c>
      <c r="L13" s="15"/>
      <c r="N13">
        <f t="shared" si="1"/>
        <v>0</v>
      </c>
      <c r="O13" t="str">
        <f t="shared" si="2"/>
        <v/>
      </c>
      <c r="P13">
        <f t="shared" si="3"/>
        <v>-1</v>
      </c>
      <c r="Q13">
        <f t="shared" si="4"/>
        <v>-1</v>
      </c>
      <c r="R13">
        <f t="shared" si="5"/>
        <v>-1</v>
      </c>
      <c r="S13">
        <f t="shared" si="6"/>
        <v>-1</v>
      </c>
      <c r="T13">
        <f t="shared" si="7"/>
        <v>-1</v>
      </c>
      <c r="U13">
        <f t="shared" si="8"/>
        <v>1</v>
      </c>
    </row>
    <row r="16" spans="1:21">
      <c r="B16" s="12" t="s">
        <v>148</v>
      </c>
    </row>
    <row r="17" spans="2:12">
      <c r="B17" s="6" t="s">
        <v>149</v>
      </c>
      <c r="C17" s="9"/>
    </row>
    <row r="18" spans="2:12">
      <c r="B18" s="6" t="s">
        <v>150</v>
      </c>
      <c r="C18" s="9"/>
    </row>
    <row r="20" spans="2:12" ht="25.5">
      <c r="B20" s="6" t="s">
        <v>151</v>
      </c>
      <c r="C20" s="9"/>
      <c r="L20" s="15" t="str">
        <f>IF(C20="","заповніть native VLAN",IF(NOT(AND(ISNUMBER(C20),C20&gt;=2,C20&lt;=254,C20=INT(C20))),"ціле число від 2 до 254",IF(COUNTIF($F$5:$F$13,C20)&gt;0,"native VLAN не має збігатися з VLAN зони",IF(AND(C17&lt;&gt;"",C18&lt;&gt;"",C20&gt;=C17,C20&lt;=C18),"native VLAN у зарезервованому діапазоні","ОК"))))</f>
        <v>заповніть native VLAN</v>
      </c>
    </row>
  </sheetData>
  <sheetProtection sheet="1" formatCells="0"/>
  <conditionalFormatting sqref="L5:L13">
    <cfRule type="expression" dxfId="13" priority="1">
      <formula>L5="ОК"</formula>
    </cfRule>
    <cfRule type="expression" dxfId="12" priority="2">
      <formula>AND(L5&lt;&gt;"",L5&lt;&gt;"ОК")</formula>
    </cfRule>
  </conditionalFormatting>
  <conditionalFormatting sqref="L20">
    <cfRule type="expression" dxfId="11" priority="3">
      <formula>L20="ОК"</formula>
    </cfRule>
    <cfRule type="expression" dxfId="10" priority="4">
      <formula>L20&lt;&gt;"ОК"</formula>
    </cfRule>
  </conditionalFormatting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A61C5D"/>
  </sheetPr>
  <dimension ref="A1:B11"/>
  <sheetViews>
    <sheetView workbookViewId="0"/>
  </sheetViews>
  <sheetFormatPr defaultRowHeight="15"/>
  <cols>
    <col min="1" max="1" width="66" customWidth="1"/>
    <col min="2" max="2" width="22" customWidth="1"/>
  </cols>
  <sheetData>
    <row r="1" spans="1:2" ht="19.5">
      <c r="A1" s="3" t="s">
        <v>152</v>
      </c>
    </row>
    <row r="2" spans="1:2">
      <c r="A2" s="4" t="s">
        <v>153</v>
      </c>
    </row>
    <row r="4" spans="1:2">
      <c r="A4" s="15" t="s">
        <v>154</v>
      </c>
      <c r="B4" s="15">
        <f>SUM('В09 Пристрої'!C5:C25)</f>
        <v>78</v>
      </c>
    </row>
    <row r="5" spans="1:2">
      <c r="A5" s="15" t="s">
        <v>155</v>
      </c>
      <c r="B5" s="15">
        <f>COUNTIFS('В09 Пристрої'!C5:C25,"&gt;0",'В09 Пристрої'!E5:E25,"")</f>
        <v>16</v>
      </c>
    </row>
    <row r="6" spans="1:2">
      <c r="A6" s="15" t="s">
        <v>156</v>
      </c>
      <c r="B6" s="15">
        <f>COUNTIF('В09 Пристрої'!F5:F25,"тип*")</f>
        <v>0</v>
      </c>
    </row>
    <row r="7" spans="1:2">
      <c r="A7" s="15" t="s">
        <v>157</v>
      </c>
      <c r="B7" s="15">
        <f>COUNTIFS('В09 Зони й адреси'!L5:L13,"&lt;&gt;ОК",'В09 Зони й адреси'!C5:C13,"&gt;0")</f>
        <v>0</v>
      </c>
    </row>
    <row r="8" spans="1:2">
      <c r="A8" s="15" t="s">
        <v>158</v>
      </c>
      <c r="B8" s="15">
        <f>IF('В09 Зони й адреси'!L20="ОК",0,1)</f>
        <v>1</v>
      </c>
    </row>
    <row r="9" spans="1:2">
      <c r="A9" s="15" t="s">
        <v>159</v>
      </c>
      <c r="B9" s="15">
        <f>MAX(0,COUNTIF('В09 Пристрої'!D5:D25,"потребує рішення")-COUNTA('В09 Обґрунтування'!C5:C12))</f>
        <v>2</v>
      </c>
    </row>
    <row r="10" spans="1:2">
      <c r="A10" s="15" t="s">
        <v>160</v>
      </c>
      <c r="B10" s="15">
        <f>COUNTA('В09 Чернетка колеги'!A15:A17)</f>
        <v>0</v>
      </c>
    </row>
    <row r="11" spans="1:2">
      <c r="A11" s="15" t="s">
        <v>161</v>
      </c>
      <c r="B11" s="15" t="str">
        <f>IF(AND(B5=0,B6=0,B7=0,B8=0,B9=0,B10&gt;=3),"Можна здавати","Є що виправити")</f>
        <v>Є що виправити</v>
      </c>
    </row>
  </sheetData>
  <sheetProtection sheet="1" formatCells="0"/>
  <conditionalFormatting sqref="B11">
    <cfRule type="expression" dxfId="9" priority="1">
      <formula>B11="Можна здавати"</formula>
    </cfRule>
    <cfRule type="expression" dxfId="8" priority="2">
      <formula>B11&lt;&gt;"Можна здавати"</formula>
    </cfRule>
  </conditionalFormatting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A61C5D"/>
  </sheetPr>
  <dimension ref="A1:C23"/>
  <sheetViews>
    <sheetView workbookViewId="0"/>
  </sheetViews>
  <sheetFormatPr defaultRowHeight="15"/>
  <cols>
    <col min="1" max="1" width="40" customWidth="1"/>
    <col min="2" max="2" width="14" customWidth="1"/>
    <col min="3" max="3" width="100" customWidth="1"/>
  </cols>
  <sheetData>
    <row r="1" spans="1:3" ht="19.5">
      <c r="A1" s="3" t="s">
        <v>162</v>
      </c>
    </row>
    <row r="2" spans="1:3">
      <c r="A2" s="4" t="s">
        <v>163</v>
      </c>
    </row>
    <row r="4" spans="1:3" ht="30" customHeight="1">
      <c r="A4" s="13" t="s">
        <v>164</v>
      </c>
      <c r="B4" s="13" t="s">
        <v>71</v>
      </c>
      <c r="C4" s="13" t="s">
        <v>165</v>
      </c>
    </row>
    <row r="5" spans="1:3">
      <c r="A5" s="15" t="s">
        <v>216</v>
      </c>
      <c r="B5" s="9"/>
      <c r="C5" s="9"/>
    </row>
    <row r="6" spans="1:3">
      <c r="A6" s="15" t="s">
        <v>215</v>
      </c>
      <c r="B6" s="9"/>
      <c r="C6" s="9"/>
    </row>
    <row r="7" spans="1:3">
      <c r="A7" s="9"/>
      <c r="B7" s="9"/>
      <c r="C7" s="9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9"/>
      <c r="B12" s="9"/>
      <c r="C12" s="9"/>
    </row>
    <row r="15" spans="1:3">
      <c r="A15" s="26" t="s">
        <v>166</v>
      </c>
      <c r="B15" s="21"/>
      <c r="C15" s="21"/>
    </row>
    <row r="16" spans="1:3" ht="39.950000000000003" customHeight="1">
      <c r="A16" s="19"/>
      <c r="B16" s="27"/>
      <c r="C16" s="28"/>
    </row>
    <row r="17" spans="1:3">
      <c r="A17" s="29"/>
      <c r="B17" s="30"/>
      <c r="C17" s="31"/>
    </row>
    <row r="18" spans="1:3">
      <c r="A18" s="26" t="s">
        <v>167</v>
      </c>
      <c r="B18" s="21"/>
      <c r="C18" s="21"/>
    </row>
    <row r="19" spans="1:3" ht="39.950000000000003" customHeight="1">
      <c r="A19" s="19"/>
      <c r="B19" s="27"/>
      <c r="C19" s="28"/>
    </row>
    <row r="20" spans="1:3">
      <c r="A20" s="29"/>
      <c r="B20" s="30"/>
      <c r="C20" s="31"/>
    </row>
    <row r="21" spans="1:3">
      <c r="A21" s="26" t="s">
        <v>168</v>
      </c>
      <c r="B21" s="21"/>
      <c r="C21" s="21"/>
    </row>
    <row r="22" spans="1:3" ht="39.950000000000003" customHeight="1">
      <c r="A22" s="19"/>
      <c r="B22" s="27"/>
      <c r="C22" s="28"/>
    </row>
    <row r="23" spans="1:3">
      <c r="A23" s="29"/>
      <c r="B23" s="30"/>
      <c r="C23" s="31"/>
    </row>
  </sheetData>
  <sheetProtection sheet="1" formatCells="0"/>
  <mergeCells count="6">
    <mergeCell ref="A15:C15"/>
    <mergeCell ref="A16:C17"/>
    <mergeCell ref="A19:C20"/>
    <mergeCell ref="A18:C18"/>
    <mergeCell ref="A22:C23"/>
    <mergeCell ref="A21:C2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5F6B76"/>
  </sheetPr>
  <dimension ref="A1:B16"/>
  <sheetViews>
    <sheetView workbookViewId="0"/>
  </sheetViews>
  <sheetFormatPr defaultRowHeight="15"/>
  <cols>
    <col min="1" max="1" width="26" customWidth="1"/>
    <col min="2" max="2" width="104" customWidth="1"/>
  </cols>
  <sheetData>
    <row r="1" spans="1:2" ht="19.5">
      <c r="A1" s="3" t="s">
        <v>320</v>
      </c>
    </row>
    <row r="2" spans="1:2">
      <c r="A2" s="4" t="s">
        <v>25</v>
      </c>
    </row>
    <row r="4" spans="1:2">
      <c r="A4" s="5" t="s">
        <v>26</v>
      </c>
      <c r="B4" s="6"/>
    </row>
    <row r="5" spans="1:2" ht="25.5">
      <c r="A5" s="7" t="s">
        <v>27</v>
      </c>
      <c r="B5" s="6" t="s">
        <v>28</v>
      </c>
    </row>
    <row r="6" spans="1:2" ht="25.5">
      <c r="A6" s="7" t="s">
        <v>29</v>
      </c>
      <c r="B6" s="6" t="s">
        <v>30</v>
      </c>
    </row>
    <row r="7" spans="1:2" ht="25.5">
      <c r="A7" s="7" t="s">
        <v>31</v>
      </c>
      <c r="B7" s="6" t="s">
        <v>32</v>
      </c>
    </row>
    <row r="8" spans="1:2">
      <c r="A8" s="7" t="s">
        <v>33</v>
      </c>
      <c r="B8" s="6" t="s">
        <v>34</v>
      </c>
    </row>
    <row r="9" spans="1:2" ht="25.5">
      <c r="A9" s="7" t="s">
        <v>35</v>
      </c>
      <c r="B9" s="6" t="s">
        <v>36</v>
      </c>
    </row>
    <row r="10" spans="1:2">
      <c r="A10" s="7" t="s">
        <v>37</v>
      </c>
      <c r="B10" s="6" t="s">
        <v>38</v>
      </c>
    </row>
    <row r="11" spans="1:2">
      <c r="A11" s="7"/>
      <c r="B11" s="6"/>
    </row>
    <row r="12" spans="1:2">
      <c r="A12" s="7" t="s">
        <v>39</v>
      </c>
      <c r="B12" s="6" t="s">
        <v>40</v>
      </c>
    </row>
    <row r="13" spans="1:2">
      <c r="A13" s="7" t="s">
        <v>41</v>
      </c>
      <c r="B13" s="6" t="s">
        <v>42</v>
      </c>
    </row>
    <row r="14" spans="1:2" ht="25.5">
      <c r="A14" s="7" t="s">
        <v>43</v>
      </c>
      <c r="B14" s="6" t="s">
        <v>44</v>
      </c>
    </row>
    <row r="15" spans="1:2" ht="25.5">
      <c r="A15" s="7" t="s">
        <v>45</v>
      </c>
      <c r="B15" s="6" t="s">
        <v>46</v>
      </c>
    </row>
    <row r="16" spans="1:2">
      <c r="A16" s="7" t="s">
        <v>47</v>
      </c>
      <c r="B16" s="6" t="s">
        <v>48</v>
      </c>
    </row>
  </sheetData>
  <sheetProtection sheet="1" formatCells="0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5F6B76"/>
  </sheetPr>
  <dimension ref="A1:B13"/>
  <sheetViews>
    <sheetView workbookViewId="0"/>
  </sheetViews>
  <sheetFormatPr defaultRowHeight="15"/>
  <cols>
    <col min="1" max="1" width="36" customWidth="1"/>
    <col min="2" max="2" width="70" customWidth="1"/>
  </cols>
  <sheetData>
    <row r="1" spans="1:2" ht="19.5">
      <c r="A1" s="3" t="s">
        <v>321</v>
      </c>
    </row>
    <row r="3" spans="1:2">
      <c r="A3" s="8" t="s">
        <v>50</v>
      </c>
      <c r="B3" s="9"/>
    </row>
    <row r="4" spans="1:2">
      <c r="A4" s="8" t="s">
        <v>51</v>
      </c>
      <c r="B4" s="10" t="s">
        <v>322</v>
      </c>
    </row>
    <row r="5" spans="1:2">
      <c r="A5" s="8" t="s">
        <v>53</v>
      </c>
      <c r="B5" s="10">
        <v>33</v>
      </c>
    </row>
    <row r="6" spans="1:2">
      <c r="A6" s="8" t="s">
        <v>54</v>
      </c>
      <c r="B6" s="10" t="s">
        <v>172</v>
      </c>
    </row>
    <row r="7" spans="1:2" ht="25.5">
      <c r="A7" s="8" t="s">
        <v>56</v>
      </c>
      <c r="B7" s="10" t="s">
        <v>323</v>
      </c>
    </row>
    <row r="8" spans="1:2" ht="25.5">
      <c r="A8" s="8" t="s">
        <v>58</v>
      </c>
      <c r="B8" s="10" t="s">
        <v>324</v>
      </c>
    </row>
    <row r="10" spans="1:2" ht="15.75">
      <c r="A10" s="11" t="s">
        <v>60</v>
      </c>
    </row>
    <row r="11" spans="1:2">
      <c r="A11" s="18" t="s">
        <v>61</v>
      </c>
      <c r="B11" s="21"/>
    </row>
    <row r="12" spans="1:2">
      <c r="A12" s="21"/>
      <c r="B12" s="21"/>
    </row>
    <row r="13" spans="1:2">
      <c r="A13" s="21"/>
      <c r="B13" s="21"/>
    </row>
  </sheetData>
  <sheetProtection sheet="1" formatCells="0"/>
  <mergeCells count="1">
    <mergeCell ref="A11:B13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5F6B76"/>
  </sheetPr>
  <dimension ref="A1:I25"/>
  <sheetViews>
    <sheetView workbookViewId="0"/>
  </sheetViews>
  <sheetFormatPr defaultRowHeight="15"/>
  <cols>
    <col min="1" max="1" width="5" customWidth="1"/>
    <col min="2" max="2" width="56" customWidth="1"/>
    <col min="3" max="3" width="11" customWidth="1"/>
    <col min="4" max="4" width="24" customWidth="1"/>
    <col min="5" max="5" width="16" customWidth="1"/>
    <col min="6" max="6" width="40" customWidth="1"/>
    <col min="7" max="7" width="3" customWidth="1"/>
    <col min="8" max="8" width="24" customWidth="1"/>
    <col min="9" max="9" width="14" customWidth="1"/>
  </cols>
  <sheetData>
    <row r="1" spans="1:9" ht="19.5">
      <c r="A1" s="3" t="s">
        <v>62</v>
      </c>
    </row>
    <row r="2" spans="1:9">
      <c r="A2" s="4" t="s">
        <v>63</v>
      </c>
    </row>
    <row r="3" spans="1:9">
      <c r="H3" s="12" t="s">
        <v>64</v>
      </c>
    </row>
    <row r="4" spans="1:9" ht="39.950000000000003" customHeight="1">
      <c r="A4" s="13" t="s">
        <v>65</v>
      </c>
      <c r="B4" s="13" t="s">
        <v>66</v>
      </c>
      <c r="C4" s="13" t="s">
        <v>67</v>
      </c>
      <c r="D4" s="13" t="s">
        <v>68</v>
      </c>
      <c r="E4" s="13" t="s">
        <v>69</v>
      </c>
      <c r="F4" s="13" t="s">
        <v>70</v>
      </c>
      <c r="H4" s="14" t="s">
        <v>68</v>
      </c>
      <c r="I4" s="14" t="s">
        <v>71</v>
      </c>
    </row>
    <row r="5" spans="1:9">
      <c r="A5" s="15">
        <v>1</v>
      </c>
      <c r="B5" s="15" t="s">
        <v>72</v>
      </c>
      <c r="C5" s="15">
        <v>3</v>
      </c>
      <c r="D5" s="15" t="s">
        <v>73</v>
      </c>
      <c r="E5" s="9"/>
      <c r="F5" s="15" t="str">
        <f t="shared" ref="F5:F25" si="0">IF(C5="","",IF(D5="","вкажіть тип",IF(E5="","призначте зону",IF(D5="потребує рішення","рішення поясніть на аркуші «Обґрунтування»",IF(IFERROR(VLOOKUP(D5,$H$5:$I$11,2,FALSE),"?")=E5,"ОК","тип пристрою не відповідає зоні")))))</f>
        <v>призначте зону</v>
      </c>
      <c r="H5" s="15" t="s">
        <v>73</v>
      </c>
      <c r="I5" s="15" t="s">
        <v>74</v>
      </c>
    </row>
    <row r="6" spans="1:9">
      <c r="A6" s="15">
        <v>2</v>
      </c>
      <c r="B6" s="15" t="s">
        <v>75</v>
      </c>
      <c r="C6" s="15">
        <v>2</v>
      </c>
      <c r="D6" s="15" t="s">
        <v>73</v>
      </c>
      <c r="E6" s="9"/>
      <c r="F6" s="15" t="str">
        <f t="shared" si="0"/>
        <v>призначте зону</v>
      </c>
      <c r="H6" s="15" t="s">
        <v>76</v>
      </c>
      <c r="I6" s="15" t="s">
        <v>77</v>
      </c>
    </row>
    <row r="7" spans="1:9">
      <c r="A7" s="15">
        <v>3</v>
      </c>
      <c r="B7" s="15" t="s">
        <v>78</v>
      </c>
      <c r="C7" s="15">
        <v>5</v>
      </c>
      <c r="D7" s="15" t="s">
        <v>76</v>
      </c>
      <c r="E7" s="9"/>
      <c r="F7" s="15" t="str">
        <f t="shared" si="0"/>
        <v>призначте зону</v>
      </c>
      <c r="H7" s="15" t="s">
        <v>79</v>
      </c>
      <c r="I7" s="15" t="s">
        <v>80</v>
      </c>
    </row>
    <row r="8" spans="1:9">
      <c r="A8" s="15">
        <v>4</v>
      </c>
      <c r="B8" s="15" t="s">
        <v>81</v>
      </c>
      <c r="C8" s="15">
        <v>2</v>
      </c>
      <c r="D8" s="15" t="s">
        <v>79</v>
      </c>
      <c r="E8" s="9"/>
      <c r="F8" s="15" t="str">
        <f t="shared" si="0"/>
        <v>призначте зону</v>
      </c>
      <c r="H8" s="15" t="s">
        <v>82</v>
      </c>
      <c r="I8" s="15" t="s">
        <v>83</v>
      </c>
    </row>
    <row r="9" spans="1:9">
      <c r="A9" s="15">
        <v>5</v>
      </c>
      <c r="B9" s="15" t="s">
        <v>84</v>
      </c>
      <c r="C9" s="15">
        <v>2</v>
      </c>
      <c r="D9" s="15" t="s">
        <v>82</v>
      </c>
      <c r="E9" s="9"/>
      <c r="F9" s="15" t="str">
        <f t="shared" si="0"/>
        <v>призначте зону</v>
      </c>
      <c r="H9" s="15" t="s">
        <v>85</v>
      </c>
      <c r="I9" s="15" t="s">
        <v>86</v>
      </c>
    </row>
    <row r="10" spans="1:9">
      <c r="A10" s="15">
        <v>6</v>
      </c>
      <c r="B10" s="15" t="s">
        <v>87</v>
      </c>
      <c r="C10" s="15">
        <v>6</v>
      </c>
      <c r="D10" s="15" t="s">
        <v>82</v>
      </c>
      <c r="E10" s="9"/>
      <c r="F10" s="15" t="str">
        <f t="shared" si="0"/>
        <v>призначте зону</v>
      </c>
      <c r="H10" s="15" t="s">
        <v>88</v>
      </c>
      <c r="I10" s="15" t="s">
        <v>89</v>
      </c>
    </row>
    <row r="11" spans="1:9">
      <c r="A11" s="15">
        <v>7</v>
      </c>
      <c r="B11" s="15" t="s">
        <v>90</v>
      </c>
      <c r="C11" s="15">
        <v>10</v>
      </c>
      <c r="D11" s="15" t="s">
        <v>85</v>
      </c>
      <c r="E11" s="9"/>
      <c r="F11" s="15" t="str">
        <f t="shared" si="0"/>
        <v>призначте зону</v>
      </c>
      <c r="H11" s="15" t="s">
        <v>91</v>
      </c>
      <c r="I11" s="15" t="s">
        <v>92</v>
      </c>
    </row>
    <row r="12" spans="1:9">
      <c r="A12" s="15">
        <v>8</v>
      </c>
      <c r="B12" s="15" t="s">
        <v>93</v>
      </c>
      <c r="C12" s="15">
        <v>4</v>
      </c>
      <c r="D12" s="15" t="s">
        <v>85</v>
      </c>
      <c r="E12" s="9"/>
      <c r="F12" s="15" t="str">
        <f t="shared" si="0"/>
        <v>призначте зону</v>
      </c>
      <c r="H12" s="16" t="s">
        <v>94</v>
      </c>
    </row>
    <row r="13" spans="1:9">
      <c r="A13" s="15">
        <v>9</v>
      </c>
      <c r="B13" s="15" t="s">
        <v>95</v>
      </c>
      <c r="C13" s="15">
        <v>6</v>
      </c>
      <c r="D13" s="15" t="s">
        <v>85</v>
      </c>
      <c r="E13" s="9"/>
      <c r="F13" s="15" t="str">
        <f t="shared" si="0"/>
        <v>призначте зону</v>
      </c>
    </row>
    <row r="14" spans="1:9">
      <c r="A14" s="15">
        <v>10</v>
      </c>
      <c r="B14" s="15" t="s">
        <v>96</v>
      </c>
      <c r="C14" s="15">
        <v>45</v>
      </c>
      <c r="D14" s="15" t="s">
        <v>88</v>
      </c>
      <c r="E14" s="9"/>
      <c r="F14" s="15" t="str">
        <f t="shared" si="0"/>
        <v>призначте зону</v>
      </c>
    </row>
    <row r="15" spans="1:9">
      <c r="A15" s="15">
        <v>11</v>
      </c>
      <c r="B15" s="15" t="s">
        <v>97</v>
      </c>
      <c r="C15" s="15">
        <v>3</v>
      </c>
      <c r="D15" s="15" t="s">
        <v>91</v>
      </c>
      <c r="E15" s="9"/>
      <c r="F15" s="15" t="str">
        <f t="shared" si="0"/>
        <v>призначте зону</v>
      </c>
    </row>
    <row r="16" spans="1:9">
      <c r="A16" s="15">
        <v>12</v>
      </c>
      <c r="B16" s="15" t="s">
        <v>98</v>
      </c>
      <c r="C16" s="15">
        <v>2</v>
      </c>
      <c r="D16" s="15" t="s">
        <v>91</v>
      </c>
      <c r="E16" s="9"/>
      <c r="F16" s="15" t="str">
        <f t="shared" si="0"/>
        <v>призначте зону</v>
      </c>
    </row>
    <row r="17" spans="1:6">
      <c r="A17" s="15">
        <v>13</v>
      </c>
      <c r="B17" s="15" t="s">
        <v>99</v>
      </c>
      <c r="C17" s="15">
        <v>2</v>
      </c>
      <c r="D17" s="15" t="s">
        <v>91</v>
      </c>
      <c r="E17" s="9"/>
      <c r="F17" s="15" t="str">
        <f t="shared" si="0"/>
        <v>призначте зону</v>
      </c>
    </row>
    <row r="18" spans="1:6">
      <c r="A18" s="15">
        <v>14</v>
      </c>
      <c r="B18" s="15" t="s">
        <v>100</v>
      </c>
      <c r="C18" s="15">
        <v>2</v>
      </c>
      <c r="D18" s="15" t="s">
        <v>91</v>
      </c>
      <c r="E18" s="9"/>
      <c r="F18" s="15" t="str">
        <f t="shared" si="0"/>
        <v>призначте зону</v>
      </c>
    </row>
    <row r="19" spans="1:6">
      <c r="A19" s="15">
        <v>15</v>
      </c>
      <c r="B19" s="15" t="s">
        <v>237</v>
      </c>
      <c r="C19" s="15">
        <v>1</v>
      </c>
      <c r="D19" s="15" t="s">
        <v>102</v>
      </c>
      <c r="E19" s="9"/>
      <c r="F19" s="15" t="str">
        <f t="shared" si="0"/>
        <v>призначте зону</v>
      </c>
    </row>
    <row r="20" spans="1:6">
      <c r="A20" s="15">
        <v>16</v>
      </c>
      <c r="B20" s="15" t="s">
        <v>236</v>
      </c>
      <c r="C20" s="15">
        <v>1</v>
      </c>
      <c r="D20" s="15" t="s">
        <v>102</v>
      </c>
      <c r="E20" s="9"/>
      <c r="F20" s="15" t="str">
        <f t="shared" si="0"/>
        <v>призначте зону</v>
      </c>
    </row>
    <row r="21" spans="1:6">
      <c r="A21" s="17">
        <v>17</v>
      </c>
      <c r="B21" s="9"/>
      <c r="C21" s="9"/>
      <c r="D21" s="9"/>
      <c r="E21" s="9"/>
      <c r="F21" s="15" t="str">
        <f t="shared" si="0"/>
        <v/>
      </c>
    </row>
    <row r="22" spans="1:6">
      <c r="A22" s="17">
        <v>18</v>
      </c>
      <c r="B22" s="9"/>
      <c r="C22" s="9"/>
      <c r="D22" s="9"/>
      <c r="E22" s="9"/>
      <c r="F22" s="15" t="str">
        <f t="shared" si="0"/>
        <v/>
      </c>
    </row>
    <row r="23" spans="1:6">
      <c r="A23" s="17">
        <v>19</v>
      </c>
      <c r="B23" s="9"/>
      <c r="C23" s="9"/>
      <c r="D23" s="9"/>
      <c r="E23" s="9"/>
      <c r="F23" s="15" t="str">
        <f t="shared" si="0"/>
        <v/>
      </c>
    </row>
    <row r="24" spans="1:6">
      <c r="A24" s="17">
        <v>20</v>
      </c>
      <c r="B24" s="9"/>
      <c r="C24" s="9"/>
      <c r="D24" s="9"/>
      <c r="E24" s="9"/>
      <c r="F24" s="15" t="str">
        <f t="shared" si="0"/>
        <v/>
      </c>
    </row>
    <row r="25" spans="1:6">
      <c r="A25" s="17">
        <v>21</v>
      </c>
      <c r="B25" s="9"/>
      <c r="C25" s="9"/>
      <c r="D25" s="9"/>
      <c r="E25" s="9"/>
      <c r="F25" s="15" t="str">
        <f t="shared" si="0"/>
        <v/>
      </c>
    </row>
  </sheetData>
  <sheetProtection sheet="1" formatCells="0"/>
  <conditionalFormatting sqref="F5:F25">
    <cfRule type="expression" dxfId="7" priority="1">
      <formula>F5="ОК"</formula>
    </cfRule>
    <cfRule type="expression" dxfId="6" priority="2">
      <formula>OR(LEFT(F5,3)="тип",F5="призначте зону",F5="вкажіть тип")</formula>
    </cfRule>
  </conditionalFormatting>
  <dataValidations count="2">
    <dataValidation type="list" allowBlank="1" sqref="E5:E25" xr:uid="{00000000-0002-0000-4200-000000000000}">
      <formula1>"KASA,MANAGERS,ABS,ATM_POS,IOT,GUEST,MGMT,NEW1,NEW2"</formula1>
    </dataValidation>
    <dataValidation type="list" allowBlank="1" sqref="D21:D25" xr:uid="{00000000-0002-0000-4200-000001000000}">
      <formula1>"каса,менеджер,АБС,платіжний пристрій,без користувача,клієнтські пристрої,мережеве обладнання,потребує рішення"</formula1>
    </dataValidation>
  </dataValidation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5F6B76"/>
  </sheetPr>
  <dimension ref="A1:G17"/>
  <sheetViews>
    <sheetView workbookViewId="0"/>
  </sheetViews>
  <sheetFormatPr defaultRowHeight="15"/>
  <cols>
    <col min="1" max="1" width="6" customWidth="1"/>
    <col min="2" max="2" width="26" customWidth="1"/>
    <col min="3" max="3" width="14" customWidth="1"/>
    <col min="4" max="4" width="9" customWidth="1"/>
    <col min="5" max="5" width="20" customWidth="1"/>
    <col min="6" max="6" width="10" customWidth="1"/>
    <col min="7" max="7" width="20" customWidth="1"/>
  </cols>
  <sheetData>
    <row r="1" spans="1:7" ht="19.5">
      <c r="A1" s="3" t="s">
        <v>104</v>
      </c>
    </row>
    <row r="2" spans="1:7">
      <c r="A2" s="4" t="s">
        <v>105</v>
      </c>
    </row>
    <row r="4" spans="1:7" ht="39.950000000000003" customHeight="1">
      <c r="A4" s="13" t="s">
        <v>65</v>
      </c>
      <c r="B4" s="13" t="s">
        <v>71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47</v>
      </c>
    </row>
    <row r="5" spans="1:7">
      <c r="A5" s="15">
        <v>1</v>
      </c>
      <c r="B5" s="15" t="s">
        <v>110</v>
      </c>
      <c r="C5" s="15">
        <v>9</v>
      </c>
      <c r="D5" s="15">
        <v>70</v>
      </c>
      <c r="E5" s="15" t="s">
        <v>325</v>
      </c>
      <c r="F5" s="15" t="s">
        <v>112</v>
      </c>
      <c r="G5" s="15" t="s">
        <v>326</v>
      </c>
    </row>
    <row r="6" spans="1:7">
      <c r="A6" s="15">
        <v>2</v>
      </c>
      <c r="B6" s="15" t="s">
        <v>114</v>
      </c>
      <c r="C6" s="15">
        <v>7</v>
      </c>
      <c r="D6" s="15">
        <v>1</v>
      </c>
      <c r="E6" s="15" t="s">
        <v>327</v>
      </c>
      <c r="F6" s="15" t="s">
        <v>112</v>
      </c>
      <c r="G6" s="15" t="s">
        <v>328</v>
      </c>
    </row>
    <row r="7" spans="1:7">
      <c r="A7" s="15">
        <v>3</v>
      </c>
      <c r="B7" s="15" t="s">
        <v>118</v>
      </c>
      <c r="C7" s="15">
        <v>4</v>
      </c>
      <c r="D7" s="15">
        <v>90</v>
      </c>
      <c r="E7" s="15" t="s">
        <v>329</v>
      </c>
      <c r="F7" s="15" t="s">
        <v>116</v>
      </c>
      <c r="G7" s="15" t="s">
        <v>330</v>
      </c>
    </row>
    <row r="8" spans="1:7">
      <c r="A8" s="15">
        <v>4</v>
      </c>
      <c r="B8" s="15" t="s">
        <v>122</v>
      </c>
      <c r="C8" s="15">
        <v>12</v>
      </c>
      <c r="D8" s="15">
        <v>100</v>
      </c>
      <c r="E8" s="15" t="s">
        <v>331</v>
      </c>
      <c r="F8" s="15" t="s">
        <v>112</v>
      </c>
      <c r="G8" s="15" t="s">
        <v>332</v>
      </c>
    </row>
    <row r="9" spans="1:7">
      <c r="A9" s="15">
        <v>5</v>
      </c>
      <c r="B9" s="15" t="s">
        <v>125</v>
      </c>
      <c r="C9" s="15">
        <v>31</v>
      </c>
      <c r="D9" s="15">
        <v>110</v>
      </c>
      <c r="E9" s="15" t="s">
        <v>333</v>
      </c>
      <c r="F9" s="15" t="s">
        <v>127</v>
      </c>
      <c r="G9" s="15" t="s">
        <v>334</v>
      </c>
    </row>
    <row r="10" spans="1:7">
      <c r="A10" s="15">
        <v>6</v>
      </c>
      <c r="B10" s="15" t="s">
        <v>129</v>
      </c>
      <c r="C10" s="15">
        <v>73</v>
      </c>
      <c r="D10" s="15">
        <v>120</v>
      </c>
      <c r="E10" s="15" t="s">
        <v>335</v>
      </c>
      <c r="F10" s="15" t="s">
        <v>187</v>
      </c>
      <c r="G10" s="15" t="s">
        <v>336</v>
      </c>
    </row>
    <row r="11" spans="1:7">
      <c r="A11" s="15">
        <v>7</v>
      </c>
      <c r="B11" s="15" t="s">
        <v>132</v>
      </c>
      <c r="C11" s="15">
        <v>13</v>
      </c>
      <c r="D11" s="15">
        <v>130</v>
      </c>
      <c r="E11" s="15" t="s">
        <v>337</v>
      </c>
      <c r="F11" s="15" t="s">
        <v>112</v>
      </c>
      <c r="G11" s="15" t="s">
        <v>338</v>
      </c>
    </row>
    <row r="13" spans="1:7" ht="15.75">
      <c r="A13" s="11" t="s">
        <v>133</v>
      </c>
    </row>
    <row r="14" spans="1:7" ht="27.95" customHeight="1">
      <c r="A14" s="13" t="s">
        <v>134</v>
      </c>
      <c r="B14" s="13" t="s">
        <v>135</v>
      </c>
      <c r="C14" s="20" t="s">
        <v>136</v>
      </c>
      <c r="D14" s="22"/>
      <c r="E14" s="22"/>
      <c r="F14" s="22"/>
      <c r="G14" s="23"/>
    </row>
    <row r="15" spans="1:7">
      <c r="A15" s="9"/>
      <c r="B15" s="9"/>
      <c r="C15" s="19"/>
      <c r="D15" s="24"/>
      <c r="E15" s="24"/>
      <c r="F15" s="24"/>
      <c r="G15" s="25"/>
    </row>
    <row r="16" spans="1:7">
      <c r="A16" s="9"/>
      <c r="B16" s="9"/>
      <c r="C16" s="19"/>
      <c r="D16" s="24"/>
      <c r="E16" s="24"/>
      <c r="F16" s="24"/>
      <c r="G16" s="25"/>
    </row>
    <row r="17" spans="1:7">
      <c r="A17" s="9"/>
      <c r="B17" s="9"/>
      <c r="C17" s="19"/>
      <c r="D17" s="24"/>
      <c r="E17" s="24"/>
      <c r="F17" s="24"/>
      <c r="G17" s="25"/>
    </row>
  </sheetData>
  <sheetProtection sheet="1" formatCells="0"/>
  <mergeCells count="4">
    <mergeCell ref="C16:G16"/>
    <mergeCell ref="C15:G15"/>
    <mergeCell ref="C17:G17"/>
    <mergeCell ref="C14:G14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5F6B76"/>
  </sheetPr>
  <dimension ref="A1:U20"/>
  <sheetViews>
    <sheetView workbookViewId="0"/>
  </sheetViews>
  <sheetFormatPr defaultRowHeight="15"/>
  <cols>
    <col min="1" max="1" width="11" customWidth="1"/>
    <col min="2" max="2" width="22" customWidth="1"/>
    <col min="3" max="3" width="10" customWidth="1"/>
    <col min="4" max="4" width="11" customWidth="1"/>
    <col min="5" max="5" width="13" customWidth="1"/>
    <col min="6" max="6" width="8" customWidth="1"/>
    <col min="7" max="8" width="16" customWidth="1"/>
    <col min="9" max="9" width="9" customWidth="1"/>
    <col min="10" max="10" width="16" customWidth="1"/>
    <col min="11" max="11" width="10" customWidth="1"/>
    <col min="12" max="12" width="56" customWidth="1"/>
    <col min="14" max="21" width="13" hidden="1" customWidth="1"/>
  </cols>
  <sheetData>
    <row r="1" spans="1:21" ht="19.5">
      <c r="A1" s="3" t="s">
        <v>137</v>
      </c>
    </row>
    <row r="2" spans="1:21">
      <c r="A2" s="4" t="s">
        <v>138</v>
      </c>
    </row>
    <row r="4" spans="1:21" ht="54" customHeight="1">
      <c r="A4" s="13" t="s">
        <v>139</v>
      </c>
      <c r="B4" s="13" t="s">
        <v>140</v>
      </c>
      <c r="C4" s="13" t="s">
        <v>141</v>
      </c>
      <c r="D4" s="13" t="s">
        <v>58</v>
      </c>
      <c r="E4" s="13" t="s">
        <v>142</v>
      </c>
      <c r="F4" s="13" t="s">
        <v>107</v>
      </c>
      <c r="G4" s="13" t="s">
        <v>143</v>
      </c>
      <c r="H4" s="13" t="s">
        <v>108</v>
      </c>
      <c r="I4" s="13" t="s">
        <v>144</v>
      </c>
      <c r="J4" s="13" t="s">
        <v>47</v>
      </c>
      <c r="K4" s="13" t="s">
        <v>145</v>
      </c>
      <c r="L4" s="13" t="s">
        <v>70</v>
      </c>
    </row>
    <row r="5" spans="1:21">
      <c r="A5" s="15" t="s">
        <v>74</v>
      </c>
      <c r="B5" s="15" t="s">
        <v>110</v>
      </c>
      <c r="C5" s="15">
        <f>SUMIF('В10 Пристрої'!$E$5:$E$25,A5,'В10 Пристрої'!$C$5:$C$25)</f>
        <v>0</v>
      </c>
      <c r="D5" s="15">
        <v>25</v>
      </c>
      <c r="E5" s="9"/>
      <c r="F5" s="9"/>
      <c r="G5" s="9"/>
      <c r="H5" s="9"/>
      <c r="I5" s="9"/>
      <c r="J5" s="9"/>
      <c r="K5" s="15" t="str">
        <f t="shared" ref="K5:K13" si="0">IF(OR(I5="",NOT(ISNUMBER(I5))),"",2^(32-I5)-2)</f>
        <v/>
      </c>
      <c r="L5" s="15"/>
      <c r="N5">
        <f t="shared" ref="N5:N13" si="1">IF(C5=0,0,ROUNDUP(ROUND(C5*(1+D5/100),6),0)+1)</f>
        <v>0</v>
      </c>
      <c r="O5" t="str">
        <f t="shared" ref="O5:O13" si="2">IF(N5=0,"",32-MAX(2,ROUNDUP(LOG(N5+2,2)-0.000001,0)))</f>
        <v/>
      </c>
      <c r="P5">
        <f t="shared" ref="P5:P13" si="3">IFERROR(VALUE(LEFT(H5,FIND(".",H5)-1)),-1)</f>
        <v>-1</v>
      </c>
      <c r="Q5">
        <f t="shared" ref="Q5:Q13" si="4">IFERROR(VALUE(MID(H5,FIND(".",H5)+1,FIND("#",SUBSTITUTE(H5,".","#",2))-FIND(".",H5)-1)),-1)</f>
        <v>-1</v>
      </c>
      <c r="R5">
        <f t="shared" ref="R5:R13" si="5">IFERROR(VALUE(MID(H5,FIND("#",SUBSTITUTE(H5,".","#",2))+1,FIND("#",SUBSTITUTE(H5,".","#",3))-FIND("#",SUBSTITUTE(H5,".","#",2))-1)),-1)</f>
        <v>-1</v>
      </c>
      <c r="S5">
        <f t="shared" ref="S5:S13" si="6">IFERROR(VALUE(MID(H5,FIND("#",SUBSTITUTE(H5,".","#",3))+1,3)),-1)</f>
        <v>-1</v>
      </c>
      <c r="T5">
        <f t="shared" ref="T5:T13" si="7">IFERROR(VALUE(MID(J5,FIND("#",SUBSTITUTE(J5,".","#",3))+1,3)),-1)</f>
        <v>-1</v>
      </c>
      <c r="U5">
        <f t="shared" ref="U5:U13" si="8">IF(IFERROR(LEFT(H5,FIND("#",SUBSTITUTE(H5,".","#",3))),"")=IFERROR(LEFT(J5,FIND("#",SUBSTITUTE(J5,".","#",3))),""),1,0)</f>
        <v>1</v>
      </c>
    </row>
    <row r="6" spans="1:21">
      <c r="A6" s="15" t="s">
        <v>77</v>
      </c>
      <c r="B6" s="15" t="s">
        <v>114</v>
      </c>
      <c r="C6" s="15">
        <f>SUMIF('В10 Пристрої'!$E$5:$E$25,A6,'В10 Пристрої'!$C$5:$C$25)</f>
        <v>0</v>
      </c>
      <c r="D6" s="15">
        <v>20</v>
      </c>
      <c r="E6" s="9"/>
      <c r="F6" s="9"/>
      <c r="G6" s="9"/>
      <c r="H6" s="9"/>
      <c r="I6" s="9"/>
      <c r="J6" s="9"/>
      <c r="K6" s="15" t="str">
        <f t="shared" si="0"/>
        <v/>
      </c>
      <c r="L6" s="15"/>
      <c r="N6">
        <f t="shared" si="1"/>
        <v>0</v>
      </c>
      <c r="O6" t="str">
        <f t="shared" si="2"/>
        <v/>
      </c>
      <c r="P6">
        <f t="shared" si="3"/>
        <v>-1</v>
      </c>
      <c r="Q6">
        <f t="shared" si="4"/>
        <v>-1</v>
      </c>
      <c r="R6">
        <f t="shared" si="5"/>
        <v>-1</v>
      </c>
      <c r="S6">
        <f t="shared" si="6"/>
        <v>-1</v>
      </c>
      <c r="T6">
        <f t="shared" si="7"/>
        <v>-1</v>
      </c>
      <c r="U6">
        <f t="shared" si="8"/>
        <v>1</v>
      </c>
    </row>
    <row r="7" spans="1:21">
      <c r="A7" s="15" t="s">
        <v>80</v>
      </c>
      <c r="B7" s="15" t="s">
        <v>118</v>
      </c>
      <c r="C7" s="15">
        <f>SUMIF('В10 Пристрої'!$E$5:$E$25,A7,'В10 Пристрої'!$C$5:$C$25)</f>
        <v>0</v>
      </c>
      <c r="D7" s="15">
        <v>25</v>
      </c>
      <c r="E7" s="9"/>
      <c r="F7" s="9"/>
      <c r="G7" s="9"/>
      <c r="H7" s="9"/>
      <c r="I7" s="9"/>
      <c r="J7" s="9"/>
      <c r="K7" s="15" t="str">
        <f t="shared" si="0"/>
        <v/>
      </c>
      <c r="L7" s="15"/>
      <c r="N7">
        <f t="shared" si="1"/>
        <v>0</v>
      </c>
      <c r="O7" t="str">
        <f t="shared" si="2"/>
        <v/>
      </c>
      <c r="P7">
        <f t="shared" si="3"/>
        <v>-1</v>
      </c>
      <c r="Q7">
        <f t="shared" si="4"/>
        <v>-1</v>
      </c>
      <c r="R7">
        <f t="shared" si="5"/>
        <v>-1</v>
      </c>
      <c r="S7">
        <f t="shared" si="6"/>
        <v>-1</v>
      </c>
      <c r="T7">
        <f t="shared" si="7"/>
        <v>-1</v>
      </c>
      <c r="U7">
        <f t="shared" si="8"/>
        <v>1</v>
      </c>
    </row>
    <row r="8" spans="1:21">
      <c r="A8" s="15" t="s">
        <v>83</v>
      </c>
      <c r="B8" s="15" t="s">
        <v>122</v>
      </c>
      <c r="C8" s="15">
        <f>SUMIF('В10 Пристрої'!$E$5:$E$25,A8,'В10 Пристрої'!$C$5:$C$25)</f>
        <v>0</v>
      </c>
      <c r="D8" s="15">
        <v>30</v>
      </c>
      <c r="E8" s="9"/>
      <c r="F8" s="9"/>
      <c r="G8" s="9"/>
      <c r="H8" s="9"/>
      <c r="I8" s="9"/>
      <c r="J8" s="9"/>
      <c r="K8" s="15" t="str">
        <f t="shared" si="0"/>
        <v/>
      </c>
      <c r="L8" s="15"/>
      <c r="N8">
        <f t="shared" si="1"/>
        <v>0</v>
      </c>
      <c r="O8" t="str">
        <f t="shared" si="2"/>
        <v/>
      </c>
      <c r="P8">
        <f t="shared" si="3"/>
        <v>-1</v>
      </c>
      <c r="Q8">
        <f t="shared" si="4"/>
        <v>-1</v>
      </c>
      <c r="R8">
        <f t="shared" si="5"/>
        <v>-1</v>
      </c>
      <c r="S8">
        <f t="shared" si="6"/>
        <v>-1</v>
      </c>
      <c r="T8">
        <f t="shared" si="7"/>
        <v>-1</v>
      </c>
      <c r="U8">
        <f t="shared" si="8"/>
        <v>1</v>
      </c>
    </row>
    <row r="9" spans="1:21">
      <c r="A9" s="15" t="s">
        <v>86</v>
      </c>
      <c r="B9" s="15" t="s">
        <v>125</v>
      </c>
      <c r="C9" s="15">
        <f>SUMIF('В10 Пристрої'!$E$5:$E$25,A9,'В10 Пристрої'!$C$5:$C$25)</f>
        <v>0</v>
      </c>
      <c r="D9" s="15">
        <v>40</v>
      </c>
      <c r="E9" s="9"/>
      <c r="F9" s="9"/>
      <c r="G9" s="9"/>
      <c r="H9" s="9"/>
      <c r="I9" s="9"/>
      <c r="J9" s="9"/>
      <c r="K9" s="15" t="str">
        <f t="shared" si="0"/>
        <v/>
      </c>
      <c r="L9" s="15"/>
      <c r="N9">
        <f t="shared" si="1"/>
        <v>0</v>
      </c>
      <c r="O9" t="str">
        <f t="shared" si="2"/>
        <v/>
      </c>
      <c r="P9">
        <f t="shared" si="3"/>
        <v>-1</v>
      </c>
      <c r="Q9">
        <f t="shared" si="4"/>
        <v>-1</v>
      </c>
      <c r="R9">
        <f t="shared" si="5"/>
        <v>-1</v>
      </c>
      <c r="S9">
        <f t="shared" si="6"/>
        <v>-1</v>
      </c>
      <c r="T9">
        <f t="shared" si="7"/>
        <v>-1</v>
      </c>
      <c r="U9">
        <f t="shared" si="8"/>
        <v>1</v>
      </c>
    </row>
    <row r="10" spans="1:21">
      <c r="A10" s="15" t="s">
        <v>89</v>
      </c>
      <c r="B10" s="15" t="s">
        <v>129</v>
      </c>
      <c r="C10" s="15">
        <f>SUMIF('В10 Пристрої'!$E$5:$E$25,A10,'В10 Пристрої'!$C$5:$C$25)</f>
        <v>0</v>
      </c>
      <c r="D10" s="15">
        <v>60</v>
      </c>
      <c r="E10" s="9"/>
      <c r="F10" s="9"/>
      <c r="G10" s="9"/>
      <c r="H10" s="9"/>
      <c r="I10" s="9"/>
      <c r="J10" s="9"/>
      <c r="K10" s="15" t="str">
        <f t="shared" si="0"/>
        <v/>
      </c>
      <c r="L10" s="15"/>
      <c r="N10">
        <f t="shared" si="1"/>
        <v>0</v>
      </c>
      <c r="O10" t="str">
        <f t="shared" si="2"/>
        <v/>
      </c>
      <c r="P10">
        <f t="shared" si="3"/>
        <v>-1</v>
      </c>
      <c r="Q10">
        <f t="shared" si="4"/>
        <v>-1</v>
      </c>
      <c r="R10">
        <f t="shared" si="5"/>
        <v>-1</v>
      </c>
      <c r="S10">
        <f t="shared" si="6"/>
        <v>-1</v>
      </c>
      <c r="T10">
        <f t="shared" si="7"/>
        <v>-1</v>
      </c>
      <c r="U10">
        <f t="shared" si="8"/>
        <v>1</v>
      </c>
    </row>
    <row r="11" spans="1:21">
      <c r="A11" s="15" t="s">
        <v>92</v>
      </c>
      <c r="B11" s="15" t="s">
        <v>132</v>
      </c>
      <c r="C11" s="15">
        <f>SUMIF('В10 Пристрої'!$E$5:$E$25,A11,'В10 Пристрої'!$C$5:$C$25)</f>
        <v>0</v>
      </c>
      <c r="D11" s="15">
        <v>25</v>
      </c>
      <c r="E11" s="9"/>
      <c r="F11" s="9"/>
      <c r="G11" s="9"/>
      <c r="H11" s="9"/>
      <c r="I11" s="9"/>
      <c r="J11" s="9"/>
      <c r="K11" s="15" t="str">
        <f t="shared" si="0"/>
        <v/>
      </c>
      <c r="L11" s="15"/>
      <c r="N11">
        <f t="shared" si="1"/>
        <v>0</v>
      </c>
      <c r="O11" t="str">
        <f t="shared" si="2"/>
        <v/>
      </c>
      <c r="P11">
        <f t="shared" si="3"/>
        <v>-1</v>
      </c>
      <c r="Q11">
        <f t="shared" si="4"/>
        <v>-1</v>
      </c>
      <c r="R11">
        <f t="shared" si="5"/>
        <v>-1</v>
      </c>
      <c r="S11">
        <f t="shared" si="6"/>
        <v>-1</v>
      </c>
      <c r="T11">
        <f t="shared" si="7"/>
        <v>-1</v>
      </c>
      <c r="U11">
        <f t="shared" si="8"/>
        <v>1</v>
      </c>
    </row>
    <row r="12" spans="1:21">
      <c r="A12" s="15" t="s">
        <v>146</v>
      </c>
      <c r="B12" s="9"/>
      <c r="C12" s="15">
        <f>SUMIF('В10 Пристрої'!$E$5:$E$25,A12,'В10 Пристрої'!$C$5:$C$25)</f>
        <v>0</v>
      </c>
      <c r="D12" s="9"/>
      <c r="E12" s="9"/>
      <c r="F12" s="9"/>
      <c r="G12" s="9"/>
      <c r="H12" s="9"/>
      <c r="I12" s="9"/>
      <c r="J12" s="9"/>
      <c r="K12" s="15" t="str">
        <f t="shared" si="0"/>
        <v/>
      </c>
      <c r="L12" s="15"/>
      <c r="N12">
        <f t="shared" si="1"/>
        <v>0</v>
      </c>
      <c r="O12" t="str">
        <f t="shared" si="2"/>
        <v/>
      </c>
      <c r="P12">
        <f t="shared" si="3"/>
        <v>-1</v>
      </c>
      <c r="Q12">
        <f t="shared" si="4"/>
        <v>-1</v>
      </c>
      <c r="R12">
        <f t="shared" si="5"/>
        <v>-1</v>
      </c>
      <c r="S12">
        <f t="shared" si="6"/>
        <v>-1</v>
      </c>
      <c r="T12">
        <f t="shared" si="7"/>
        <v>-1</v>
      </c>
      <c r="U12">
        <f t="shared" si="8"/>
        <v>1</v>
      </c>
    </row>
    <row r="13" spans="1:21">
      <c r="A13" s="15" t="s">
        <v>147</v>
      </c>
      <c r="B13" s="9"/>
      <c r="C13" s="15">
        <f>SUMIF('В10 Пристрої'!$E$5:$E$25,A13,'В10 Пристрої'!$C$5:$C$25)</f>
        <v>0</v>
      </c>
      <c r="D13" s="9"/>
      <c r="E13" s="9"/>
      <c r="F13" s="9"/>
      <c r="G13" s="9"/>
      <c r="H13" s="9"/>
      <c r="I13" s="9"/>
      <c r="J13" s="9"/>
      <c r="K13" s="15" t="str">
        <f t="shared" si="0"/>
        <v/>
      </c>
      <c r="L13" s="15"/>
      <c r="N13">
        <f t="shared" si="1"/>
        <v>0</v>
      </c>
      <c r="O13" t="str">
        <f t="shared" si="2"/>
        <v/>
      </c>
      <c r="P13">
        <f t="shared" si="3"/>
        <v>-1</v>
      </c>
      <c r="Q13">
        <f t="shared" si="4"/>
        <v>-1</v>
      </c>
      <c r="R13">
        <f t="shared" si="5"/>
        <v>-1</v>
      </c>
      <c r="S13">
        <f t="shared" si="6"/>
        <v>-1</v>
      </c>
      <c r="T13">
        <f t="shared" si="7"/>
        <v>-1</v>
      </c>
      <c r="U13">
        <f t="shared" si="8"/>
        <v>1</v>
      </c>
    </row>
    <row r="16" spans="1:21">
      <c r="B16" s="12" t="s">
        <v>148</v>
      </c>
    </row>
    <row r="17" spans="2:12">
      <c r="B17" s="6" t="s">
        <v>149</v>
      </c>
      <c r="C17" s="9"/>
    </row>
    <row r="18" spans="2:12">
      <c r="B18" s="6" t="s">
        <v>150</v>
      </c>
      <c r="C18" s="9"/>
    </row>
    <row r="20" spans="2:12" ht="25.5">
      <c r="B20" s="6" t="s">
        <v>151</v>
      </c>
      <c r="C20" s="9"/>
      <c r="L20" s="15" t="str">
        <f>IF(C20="","заповніть native VLAN",IF(NOT(AND(ISNUMBER(C20),C20&gt;=2,C20&lt;=254,C20=INT(C20))),"ціле число від 2 до 254",IF(COUNTIF($F$5:$F$13,C20)&gt;0,"native VLAN не має збігатися з VLAN зони",IF(AND(C17&lt;&gt;"",C18&lt;&gt;"",C20&gt;=C17,C20&lt;=C18),"native VLAN у зарезервованому діапазоні","ОК"))))</f>
        <v>заповніть native VLAN</v>
      </c>
    </row>
  </sheetData>
  <sheetProtection sheet="1" formatCells="0"/>
  <conditionalFormatting sqref="L5:L13">
    <cfRule type="expression" dxfId="5" priority="1">
      <formula>L5="ОК"</formula>
    </cfRule>
    <cfRule type="expression" dxfId="4" priority="2">
      <formula>AND(L5&lt;&gt;"",L5&lt;&gt;"ОК")</formula>
    </cfRule>
  </conditionalFormatting>
  <conditionalFormatting sqref="L20">
    <cfRule type="expression" dxfId="3" priority="3">
      <formula>L20="ОК"</formula>
    </cfRule>
    <cfRule type="expression" dxfId="2" priority="4">
      <formula>L20&lt;&gt;"ОК"</formula>
    </cfRule>
  </conditionalFormatting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5F6B76"/>
  </sheetPr>
  <dimension ref="A1:B11"/>
  <sheetViews>
    <sheetView workbookViewId="0"/>
  </sheetViews>
  <sheetFormatPr defaultRowHeight="15"/>
  <cols>
    <col min="1" max="1" width="66" customWidth="1"/>
    <col min="2" max="2" width="22" customWidth="1"/>
  </cols>
  <sheetData>
    <row r="1" spans="1:2" ht="19.5">
      <c r="A1" s="3" t="s">
        <v>152</v>
      </c>
    </row>
    <row r="2" spans="1:2">
      <c r="A2" s="4" t="s">
        <v>153</v>
      </c>
    </row>
    <row r="4" spans="1:2">
      <c r="A4" s="15" t="s">
        <v>154</v>
      </c>
      <c r="B4" s="15">
        <f>SUM('В10 Пристрої'!C5:C25)</f>
        <v>96</v>
      </c>
    </row>
    <row r="5" spans="1:2">
      <c r="A5" s="15" t="s">
        <v>155</v>
      </c>
      <c r="B5" s="15">
        <f>COUNTIFS('В10 Пристрої'!C5:C25,"&gt;0",'В10 Пристрої'!E5:E25,"")</f>
        <v>16</v>
      </c>
    </row>
    <row r="6" spans="1:2">
      <c r="A6" s="15" t="s">
        <v>156</v>
      </c>
      <c r="B6" s="15">
        <f>COUNTIF('В10 Пристрої'!F5:F25,"тип*")</f>
        <v>0</v>
      </c>
    </row>
    <row r="7" spans="1:2">
      <c r="A7" s="15" t="s">
        <v>157</v>
      </c>
      <c r="B7" s="15">
        <f>COUNTIFS('В10 Зони й адреси'!L5:L13,"&lt;&gt;ОК",'В10 Зони й адреси'!C5:C13,"&gt;0")</f>
        <v>0</v>
      </c>
    </row>
    <row r="8" spans="1:2">
      <c r="A8" s="15" t="s">
        <v>158</v>
      </c>
      <c r="B8" s="15">
        <f>IF('В10 Зони й адреси'!L20="ОК",0,1)</f>
        <v>1</v>
      </c>
    </row>
    <row r="9" spans="1:2">
      <c r="A9" s="15" t="s">
        <v>159</v>
      </c>
      <c r="B9" s="15">
        <f>MAX(0,COUNTIF('В10 Пристрої'!D5:D25,"потребує рішення")-COUNTA('В10 Обґрунтування'!C5:C12))</f>
        <v>2</v>
      </c>
    </row>
    <row r="10" spans="1:2">
      <c r="A10" s="15" t="s">
        <v>160</v>
      </c>
      <c r="B10" s="15">
        <f>COUNTA('В10 Чернетка колеги'!A15:A17)</f>
        <v>0</v>
      </c>
    </row>
    <row r="11" spans="1:2">
      <c r="A11" s="15" t="s">
        <v>161</v>
      </c>
      <c r="B11" s="15" t="str">
        <f>IF(AND(B5=0,B6=0,B7=0,B8=0,B9=0,B10&gt;=3),"Можна здавати","Є що виправити")</f>
        <v>Є що виправити</v>
      </c>
    </row>
  </sheetData>
  <sheetProtection sheet="1" formatCells="0"/>
  <conditionalFormatting sqref="B11">
    <cfRule type="expression" dxfId="1" priority="1">
      <formula>B11="Можна здавати"</formula>
    </cfRule>
    <cfRule type="expression" dxfId="0" priority="2">
      <formula>B11&lt;&gt;"Можна здавати"</formula>
    </cfRule>
  </conditionalFormatting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5F6B76"/>
  </sheetPr>
  <dimension ref="A1:C23"/>
  <sheetViews>
    <sheetView workbookViewId="0"/>
  </sheetViews>
  <sheetFormatPr defaultRowHeight="15"/>
  <cols>
    <col min="1" max="1" width="40" customWidth="1"/>
    <col min="2" max="2" width="14" customWidth="1"/>
    <col min="3" max="3" width="100" customWidth="1"/>
  </cols>
  <sheetData>
    <row r="1" spans="1:3" ht="19.5">
      <c r="A1" s="3" t="s">
        <v>162</v>
      </c>
    </row>
    <row r="2" spans="1:3">
      <c r="A2" s="4" t="s">
        <v>163</v>
      </c>
    </row>
    <row r="4" spans="1:3" ht="30" customHeight="1">
      <c r="A4" s="13" t="s">
        <v>164</v>
      </c>
      <c r="B4" s="13" t="s">
        <v>71</v>
      </c>
      <c r="C4" s="13" t="s">
        <v>165</v>
      </c>
    </row>
    <row r="5" spans="1:3">
      <c r="A5" s="15" t="s">
        <v>237</v>
      </c>
      <c r="B5" s="9"/>
      <c r="C5" s="9"/>
    </row>
    <row r="6" spans="1:3">
      <c r="A6" s="15" t="s">
        <v>236</v>
      </c>
      <c r="B6" s="9"/>
      <c r="C6" s="9"/>
    </row>
    <row r="7" spans="1:3">
      <c r="A7" s="9"/>
      <c r="B7" s="9"/>
      <c r="C7" s="9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9"/>
      <c r="B12" s="9"/>
      <c r="C12" s="9"/>
    </row>
    <row r="15" spans="1:3">
      <c r="A15" s="26" t="s">
        <v>166</v>
      </c>
      <c r="B15" s="21"/>
      <c r="C15" s="21"/>
    </row>
    <row r="16" spans="1:3" ht="39.950000000000003" customHeight="1">
      <c r="A16" s="19"/>
      <c r="B16" s="27"/>
      <c r="C16" s="28"/>
    </row>
    <row r="17" spans="1:3">
      <c r="A17" s="29"/>
      <c r="B17" s="30"/>
      <c r="C17" s="31"/>
    </row>
    <row r="18" spans="1:3">
      <c r="A18" s="26" t="s">
        <v>167</v>
      </c>
      <c r="B18" s="21"/>
      <c r="C18" s="21"/>
    </row>
    <row r="19" spans="1:3" ht="39.950000000000003" customHeight="1">
      <c r="A19" s="19"/>
      <c r="B19" s="27"/>
      <c r="C19" s="28"/>
    </row>
    <row r="20" spans="1:3">
      <c r="A20" s="29"/>
      <c r="B20" s="30"/>
      <c r="C20" s="31"/>
    </row>
    <row r="21" spans="1:3">
      <c r="A21" s="26" t="s">
        <v>168</v>
      </c>
      <c r="B21" s="21"/>
      <c r="C21" s="21"/>
    </row>
    <row r="22" spans="1:3" ht="39.950000000000003" customHeight="1">
      <c r="A22" s="19"/>
      <c r="B22" s="27"/>
      <c r="C22" s="28"/>
    </row>
    <row r="23" spans="1:3">
      <c r="A23" s="29"/>
      <c r="B23" s="30"/>
      <c r="C23" s="31"/>
    </row>
  </sheetData>
  <sheetProtection sheet="1" formatCells="0"/>
  <mergeCells count="6">
    <mergeCell ref="A15:C15"/>
    <mergeCell ref="A16:C17"/>
    <mergeCell ref="A19:C20"/>
    <mergeCell ref="A18:C18"/>
    <mergeCell ref="A22:C23"/>
    <mergeCell ref="A21:C2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f3bc569-9ab2-4830-a415-693d9bfcfeb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15EA09E6D44F04384841D5FBD71E5CF" ma:contentTypeVersion="4" ma:contentTypeDescription="Створення нового документа." ma:contentTypeScope="" ma:versionID="19ef49009c02501cdf63fa9c76fb0ddf">
  <xsd:schema xmlns:xsd="http://www.w3.org/2001/XMLSchema" xmlns:xs="http://www.w3.org/2001/XMLSchema" xmlns:p="http://schemas.microsoft.com/office/2006/metadata/properties" xmlns:ns2="8f3bc569-9ab2-4830-a415-693d9bfcfeb5" targetNamespace="http://schemas.microsoft.com/office/2006/metadata/properties" ma:root="true" ma:fieldsID="7fa71622a43fff10fba745f8a14a06f8" ns2:_="">
    <xsd:import namespace="8f3bc569-9ab2-4830-a415-693d9bfcfeb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bc569-9ab2-4830-a415-693d9bfcfeb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24B631-DDC7-42C4-A217-DB4E037F51C1}"/>
</file>

<file path=customXml/itemProps2.xml><?xml version="1.0" encoding="utf-8"?>
<ds:datastoreItem xmlns:ds="http://schemas.openxmlformats.org/officeDocument/2006/customXml" ds:itemID="{36D329D9-D5BF-4584-86D6-509B7FCCC991}"/>
</file>

<file path=customXml/itemProps3.xml><?xml version="1.0" encoding="utf-8"?>
<ds:datastoreItem xmlns:ds="http://schemas.openxmlformats.org/officeDocument/2006/customXml" ds:itemID="{7DF1189A-B2AA-4F08-8E3E-1E54A094C8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</cp:lastModifiedBy>
  <cp:revision/>
  <dcterms:created xsi:type="dcterms:W3CDTF">2026-10-20T08:52:22Z</dcterms:created>
  <dcterms:modified xsi:type="dcterms:W3CDTF">2026-10-24T07:28:28Z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0x010100515EA09E6D44F04384841D5FBD71E5CF</vt:lpwstr>
  </property>
</Properties>
</file>